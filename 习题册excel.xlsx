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34406\Documents\Obsidian Vault\"/>
    </mc:Choice>
  </mc:AlternateContent>
  <xr:revisionPtr revIDLastSave="0" documentId="13_ncr:1_{C0D1D7DE-B6FC-45D8-8715-6403B9BAD2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张宇1000题" sheetId="1" r:id="rId1"/>
    <sheet name="王道操作系统" sheetId="2" r:id="rId2"/>
    <sheet name="王道计组" sheetId="3" r:id="rId3"/>
    <sheet name="王道数据结构" sheetId="4" r:id="rId4"/>
    <sheet name="王道计网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5" l="1"/>
  <c r="G39" i="5"/>
  <c r="I39" i="5" s="1"/>
  <c r="D39" i="5"/>
  <c r="D41" i="5" s="1"/>
  <c r="C39" i="5"/>
  <c r="C41" i="5" s="1"/>
  <c r="E41" i="5" s="1"/>
  <c r="I38" i="5"/>
  <c r="E38" i="5"/>
  <c r="I37" i="5"/>
  <c r="E37" i="5"/>
  <c r="I36" i="5"/>
  <c r="E36" i="5"/>
  <c r="I35" i="5"/>
  <c r="E35" i="5"/>
  <c r="I34" i="5"/>
  <c r="E34" i="5"/>
  <c r="I32" i="5"/>
  <c r="E32" i="5"/>
  <c r="I31" i="5"/>
  <c r="E31" i="5"/>
  <c r="I30" i="5"/>
  <c r="E30" i="5"/>
  <c r="I28" i="5"/>
  <c r="E28" i="5"/>
  <c r="I27" i="5"/>
  <c r="E27" i="5"/>
  <c r="I26" i="5"/>
  <c r="E26" i="5"/>
  <c r="I25" i="5"/>
  <c r="E25" i="5"/>
  <c r="I24" i="5"/>
  <c r="E24" i="5"/>
  <c r="I23" i="5"/>
  <c r="E23" i="5"/>
  <c r="I22" i="5"/>
  <c r="E22" i="5"/>
  <c r="I20" i="5"/>
  <c r="E20" i="5"/>
  <c r="I19" i="5"/>
  <c r="E19" i="5"/>
  <c r="I18" i="5"/>
  <c r="E18" i="5"/>
  <c r="I17" i="5"/>
  <c r="E17" i="5"/>
  <c r="I16" i="5"/>
  <c r="E16" i="5"/>
  <c r="I15" i="5"/>
  <c r="E15" i="5"/>
  <c r="I14" i="5"/>
  <c r="E14" i="5"/>
  <c r="I13" i="5"/>
  <c r="E13" i="5"/>
  <c r="I11" i="5"/>
  <c r="E11" i="5"/>
  <c r="I10" i="5"/>
  <c r="E10" i="5"/>
  <c r="I9" i="5"/>
  <c r="E9" i="5"/>
  <c r="I7" i="5"/>
  <c r="E7" i="5"/>
  <c r="I6" i="5"/>
  <c r="E6" i="5"/>
  <c r="H45" i="4"/>
  <c r="G45" i="4"/>
  <c r="I45" i="4" s="1"/>
  <c r="D45" i="4"/>
  <c r="D47" i="4" s="1"/>
  <c r="C45" i="4"/>
  <c r="E45" i="4" s="1"/>
  <c r="I44" i="4"/>
  <c r="E44" i="4"/>
  <c r="I43" i="4"/>
  <c r="E43" i="4"/>
  <c r="I42" i="4"/>
  <c r="E42" i="4"/>
  <c r="I41" i="4"/>
  <c r="E41" i="4"/>
  <c r="I40" i="4"/>
  <c r="E40" i="4"/>
  <c r="I39" i="4"/>
  <c r="E39" i="4"/>
  <c r="I38" i="4"/>
  <c r="E38" i="4"/>
  <c r="I36" i="4"/>
  <c r="E36" i="4"/>
  <c r="I35" i="4"/>
  <c r="E35" i="4"/>
  <c r="I34" i="4"/>
  <c r="E34" i="4"/>
  <c r="I33" i="4"/>
  <c r="E33" i="4"/>
  <c r="I32" i="4"/>
  <c r="E32" i="4"/>
  <c r="I30" i="4"/>
  <c r="E30" i="4"/>
  <c r="I29" i="4"/>
  <c r="E29" i="4"/>
  <c r="I28" i="4"/>
  <c r="E28" i="4"/>
  <c r="I27" i="4"/>
  <c r="E27" i="4"/>
  <c r="I25" i="4"/>
  <c r="E25" i="4"/>
  <c r="I24" i="4"/>
  <c r="E24" i="4"/>
  <c r="I23" i="4"/>
  <c r="E23" i="4"/>
  <c r="I22" i="4"/>
  <c r="E22" i="4"/>
  <c r="I21" i="4"/>
  <c r="E21" i="4"/>
  <c r="I19" i="4"/>
  <c r="E19" i="4"/>
  <c r="I18" i="4"/>
  <c r="E18" i="4"/>
  <c r="I16" i="4"/>
  <c r="E16" i="4"/>
  <c r="I15" i="4"/>
  <c r="E15" i="4"/>
  <c r="I14" i="4"/>
  <c r="E14" i="4"/>
  <c r="I13" i="4"/>
  <c r="E13" i="4"/>
  <c r="I11" i="4"/>
  <c r="E11" i="4"/>
  <c r="I10" i="4"/>
  <c r="E10" i="4"/>
  <c r="I9" i="4"/>
  <c r="E9" i="4"/>
  <c r="I7" i="4"/>
  <c r="E7" i="4"/>
  <c r="I6" i="4"/>
  <c r="E6" i="4"/>
  <c r="H40" i="3"/>
  <c r="G40" i="3"/>
  <c r="I40" i="3" s="1"/>
  <c r="D40" i="3"/>
  <c r="C40" i="3"/>
  <c r="C42" i="3" s="1"/>
  <c r="I39" i="3"/>
  <c r="E39" i="3"/>
  <c r="I38" i="3"/>
  <c r="E38" i="3"/>
  <c r="I37" i="3"/>
  <c r="E37" i="3"/>
  <c r="I35" i="3"/>
  <c r="E35" i="3"/>
  <c r="I34" i="3"/>
  <c r="E34" i="3"/>
  <c r="I32" i="3"/>
  <c r="E32" i="3"/>
  <c r="I31" i="3"/>
  <c r="E31" i="3"/>
  <c r="I30" i="3"/>
  <c r="E30" i="3"/>
  <c r="I29" i="3"/>
  <c r="E29" i="3"/>
  <c r="I28" i="3"/>
  <c r="E28" i="3"/>
  <c r="I27" i="3"/>
  <c r="E27" i="3"/>
  <c r="I26" i="3"/>
  <c r="E26" i="3"/>
  <c r="I24" i="3"/>
  <c r="E24" i="3"/>
  <c r="I23" i="3"/>
  <c r="E23" i="3"/>
  <c r="I22" i="3"/>
  <c r="E22" i="3"/>
  <c r="I21" i="3"/>
  <c r="E21" i="3"/>
  <c r="I19" i="3"/>
  <c r="E19" i="3"/>
  <c r="I18" i="3"/>
  <c r="E18" i="3"/>
  <c r="I17" i="3"/>
  <c r="E17" i="3"/>
  <c r="I16" i="3"/>
  <c r="E16" i="3"/>
  <c r="I15" i="3"/>
  <c r="E15" i="3"/>
  <c r="I14" i="3"/>
  <c r="E14" i="3"/>
  <c r="I12" i="3"/>
  <c r="E12" i="3"/>
  <c r="I11" i="3"/>
  <c r="E11" i="3"/>
  <c r="I10" i="3"/>
  <c r="E10" i="3"/>
  <c r="I8" i="3"/>
  <c r="E8" i="3"/>
  <c r="I7" i="3"/>
  <c r="E7" i="3"/>
  <c r="I6" i="3"/>
  <c r="E6" i="3"/>
  <c r="H28" i="2"/>
  <c r="G28" i="2"/>
  <c r="I28" i="2" s="1"/>
  <c r="D28" i="2"/>
  <c r="C28" i="2"/>
  <c r="I27" i="2"/>
  <c r="E27" i="2"/>
  <c r="I26" i="2"/>
  <c r="E26" i="2"/>
  <c r="I25" i="2"/>
  <c r="E25" i="2"/>
  <c r="I23" i="2"/>
  <c r="E23" i="2"/>
  <c r="I22" i="2"/>
  <c r="E22" i="2"/>
  <c r="I21" i="2"/>
  <c r="E21" i="2"/>
  <c r="I19" i="2"/>
  <c r="E19" i="2"/>
  <c r="I18" i="2"/>
  <c r="E18" i="2"/>
  <c r="I16" i="2"/>
  <c r="E16" i="2"/>
  <c r="I15" i="2"/>
  <c r="E15" i="2"/>
  <c r="I14" i="2"/>
  <c r="E14" i="2"/>
  <c r="I13" i="2"/>
  <c r="E13" i="2"/>
  <c r="I11" i="2"/>
  <c r="E11" i="2"/>
  <c r="I10" i="2"/>
  <c r="E10" i="2"/>
  <c r="I9" i="2"/>
  <c r="E9" i="2"/>
  <c r="I8" i="2"/>
  <c r="E8" i="2"/>
  <c r="I7" i="2"/>
  <c r="E7" i="2"/>
  <c r="I6" i="2"/>
  <c r="E6" i="2"/>
  <c r="D89" i="1"/>
  <c r="C89" i="1"/>
  <c r="E89" i="1" s="1"/>
  <c r="E88" i="1"/>
  <c r="E87" i="1"/>
  <c r="E86" i="1"/>
  <c r="E85" i="1"/>
  <c r="E83" i="1"/>
  <c r="E82" i="1"/>
  <c r="E81" i="1"/>
  <c r="E80" i="1"/>
  <c r="E79" i="1"/>
  <c r="E78" i="1"/>
  <c r="E77" i="1"/>
  <c r="E76" i="1"/>
  <c r="E75" i="1"/>
  <c r="E73" i="1"/>
  <c r="E72" i="1"/>
  <c r="E71" i="1"/>
  <c r="E70" i="1"/>
  <c r="E69" i="1"/>
  <c r="E68" i="1"/>
  <c r="E67" i="1"/>
  <c r="E66" i="1"/>
  <c r="E65" i="1"/>
  <c r="D61" i="1"/>
  <c r="C61" i="1"/>
  <c r="E61" i="1" s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D39" i="1"/>
  <c r="C39" i="1"/>
  <c r="E38" i="1"/>
  <c r="E37" i="1"/>
  <c r="E36" i="1"/>
  <c r="E35" i="1"/>
  <c r="E34" i="1"/>
  <c r="E33" i="1"/>
  <c r="E31" i="1"/>
  <c r="E30" i="1"/>
  <c r="E29" i="1"/>
  <c r="E28" i="1"/>
  <c r="E27" i="1"/>
  <c r="E26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28" i="2" l="1"/>
  <c r="D30" i="2"/>
  <c r="C30" i="2"/>
  <c r="D42" i="3"/>
  <c r="E40" i="3"/>
  <c r="C91" i="1"/>
  <c r="D91" i="1"/>
  <c r="C47" i="4"/>
  <c r="E47" i="4" s="1"/>
  <c r="E30" i="2"/>
  <c r="E42" i="3"/>
  <c r="E91" i="1"/>
  <c r="E39" i="1"/>
  <c r="E39" i="5"/>
</calcChain>
</file>

<file path=xl/sharedStrings.xml><?xml version="1.0" encoding="utf-8"?>
<sst xmlns="http://schemas.openxmlformats.org/spreadsheetml/2006/main" count="275" uniqueCount="210">
  <si>
    <t>张宇1000题 习题册正确率记录</t>
  </si>
  <si>
    <t>章节</t>
  </si>
  <si>
    <t>日期</t>
  </si>
  <si>
    <t>总题目</t>
  </si>
  <si>
    <t>正确数</t>
  </si>
  <si>
    <t>正确率</t>
  </si>
  <si>
    <t>基础篇</t>
  </si>
  <si>
    <t>高等数学</t>
  </si>
  <si>
    <t>零基础</t>
  </si>
  <si>
    <t>第1章 函数极限与连续</t>
  </si>
  <si>
    <t>第2章 数列极限</t>
  </si>
  <si>
    <t>第3章 一元函数微分学的概念</t>
  </si>
  <si>
    <t>第4章 一元函数微分学的计算</t>
  </si>
  <si>
    <t>第5章 一元函数微分学的应用(一) ——几何应用</t>
  </si>
  <si>
    <t>第6章 一元函数微分学的应用(二) ——中值定理、微分等式与微分不等式</t>
  </si>
  <si>
    <t>第7章 一元函数微分学的应用(三) ——物理应用</t>
  </si>
  <si>
    <t>第8章 一元函数积分学的概念与性质</t>
  </si>
  <si>
    <t>第9章 一元函数积分学的计算</t>
  </si>
  <si>
    <t>第10章 一元函数积分学的应用(一) ——几何应用</t>
  </si>
  <si>
    <t>第11章 一元函数积分学的应用(二) ——积分等式与积分不等式</t>
  </si>
  <si>
    <t>第12章 一元函数积分学的应用(三) ——物理应用</t>
  </si>
  <si>
    <t>第13章 多元函数微分学</t>
  </si>
  <si>
    <t>第14章 二重积分</t>
  </si>
  <si>
    <t>第15章 微分方程</t>
  </si>
  <si>
    <t>第16章 无穷级数</t>
  </si>
  <si>
    <t>第17章 多元函数积分学的预备知识</t>
  </si>
  <si>
    <t>第18章 多元函数积分学</t>
  </si>
  <si>
    <t>线性代数</t>
  </si>
  <si>
    <t>第1章 行列式</t>
  </si>
  <si>
    <t>第2章 矩阵</t>
  </si>
  <si>
    <t>第3章 向量组</t>
  </si>
  <si>
    <t>第4章 线性方程组</t>
  </si>
  <si>
    <t>第5章 特征值与特征向量</t>
  </si>
  <si>
    <t>第6章 二次型</t>
  </si>
  <si>
    <t>概率论与数理统计</t>
  </si>
  <si>
    <t>第1章 随机事件与概率</t>
  </si>
  <si>
    <t>第2章 一维随机变量及其分布</t>
  </si>
  <si>
    <t>第3章 多维随机变量及其分布</t>
  </si>
  <si>
    <t>第4章 随机变量的数字特征</t>
  </si>
  <si>
    <t>第5章 大数定律与中心极限定理</t>
  </si>
  <si>
    <t>第6章 数理统计</t>
  </si>
  <si>
    <t>基础篇汇总</t>
  </si>
  <si>
    <t>强化篇</t>
  </si>
  <si>
    <t>强化篇汇总</t>
  </si>
  <si>
    <t>综合篇</t>
  </si>
  <si>
    <t>第2章 余子式和代数余子式的计算</t>
  </si>
  <si>
    <t>第3章 矩阵运算</t>
  </si>
  <si>
    <t>第4章 矩阵的秩</t>
  </si>
  <si>
    <t>第5章 线性方程组</t>
  </si>
  <si>
    <t>第6章 向量组</t>
  </si>
  <si>
    <t>第7章 特征值与特征向量</t>
  </si>
  <si>
    <t>第8章 相似理论</t>
  </si>
  <si>
    <t>第9章 二次型</t>
  </si>
  <si>
    <t>第1章 随机事件和概率</t>
  </si>
  <si>
    <t>第3章 一维随机变量函数的分布</t>
  </si>
  <si>
    <t>第4章 多维随机变量及其分布</t>
  </si>
  <si>
    <t>第5章 多维随机变量函数的分布</t>
  </si>
  <si>
    <t>第6章 数字特征</t>
  </si>
  <si>
    <t>第7章 大数定律与中心极限定理</t>
  </si>
  <si>
    <t>第8章 统计量及其分布</t>
  </si>
  <si>
    <t>第9章 参数估计与假设检验</t>
  </si>
  <si>
    <t>综合测试</t>
  </si>
  <si>
    <t>测试卷一</t>
  </si>
  <si>
    <t>测试卷二</t>
  </si>
  <si>
    <t>测试卷三</t>
  </si>
  <si>
    <t>测试卷四</t>
  </si>
  <si>
    <t>综合篇汇总</t>
  </si>
  <si>
    <t>整本合计</t>
  </si>
  <si>
    <t>王道操作系统 课后习题正确率记录</t>
  </si>
  <si>
    <t>【 一 刷 】</t>
  </si>
  <si>
    <t>【 二 刷 】</t>
  </si>
  <si>
    <t>小节</t>
  </si>
  <si>
    <t>总题</t>
  </si>
  <si>
    <t>正确</t>
  </si>
  <si>
    <t>第1章 计算机系统概述</t>
  </si>
  <si>
    <t>1.1 操作系统的基本概念</t>
  </si>
  <si>
    <t>1.2 操作系统发展历程</t>
  </si>
  <si>
    <t>1.3 操作系统的运行环境</t>
  </si>
  <si>
    <t>1.4 操作系统结构</t>
  </si>
  <si>
    <t>1.5 操作系统引导</t>
  </si>
  <si>
    <t>1.6 虚拟机</t>
  </si>
  <si>
    <t>第2章 进程与线程</t>
  </si>
  <si>
    <t>2.1 进程与线程简介</t>
  </si>
  <si>
    <t>2.2 CPU调度</t>
  </si>
  <si>
    <t>2.3 同步与互斥</t>
  </si>
  <si>
    <t>2.4 死锁</t>
  </si>
  <si>
    <t>第3章 内存管理</t>
  </si>
  <si>
    <t>3.1 内存管理概念</t>
  </si>
  <si>
    <t>3.2 虚拟内存管理</t>
  </si>
  <si>
    <t>第4章 文件管理</t>
  </si>
  <si>
    <t>4.1 文件系统基础</t>
  </si>
  <si>
    <t>4.2 目录与文件</t>
  </si>
  <si>
    <t>4.3 文件系统</t>
  </si>
  <si>
    <t>第5章 输入/输出管理</t>
  </si>
  <si>
    <t>5.1 I/O管理概述</t>
  </si>
  <si>
    <t>5.2 设备独立性软件</t>
  </si>
  <si>
    <t>5.3 磁盘和固态硬盘</t>
  </si>
  <si>
    <t>合计</t>
  </si>
  <si>
    <t>总  计</t>
  </si>
  <si>
    <t>王道计算机组成原理 课后习题正确率记录</t>
  </si>
  <si>
    <t>1.1 计算机发展历程</t>
  </si>
  <si>
    <t>1.2 计算机系统层次结构</t>
  </si>
  <si>
    <t>1.3 计算机的性能指标</t>
  </si>
  <si>
    <t>第2章 数据的表示和运算</t>
  </si>
  <si>
    <t>2.1 数制与编码</t>
  </si>
  <si>
    <t>2.2 运算方法和运算电路</t>
  </si>
  <si>
    <t>2.3 浮点数的表示与运算</t>
  </si>
  <si>
    <t>第3章 存储系统</t>
  </si>
  <si>
    <t>3.1 存储器概述</t>
  </si>
  <si>
    <t>3.2 主存储器</t>
  </si>
  <si>
    <t>3.3 主存储器与CPU的连接</t>
  </si>
  <si>
    <t>3.4 外部存储器</t>
  </si>
  <si>
    <t>3.5 高速缓冲存储器</t>
  </si>
  <si>
    <t>3.6 虚拟存储器</t>
  </si>
  <si>
    <t>第4章 指令系统</t>
  </si>
  <si>
    <t>4.1 指令系统</t>
  </si>
  <si>
    <t>4.2 寻址方式</t>
  </si>
  <si>
    <t>4.3 程序的机器级代码表示</t>
  </si>
  <si>
    <t>4.4 CISC和RISC的基本概念</t>
  </si>
  <si>
    <t>第5章 中央处理器</t>
  </si>
  <si>
    <t>5.1 CPU的功能和基本结构</t>
  </si>
  <si>
    <t>5.2 指令执行过程</t>
  </si>
  <si>
    <t>5.3 数据通路的功能和基本结构</t>
  </si>
  <si>
    <t>5.4 控制器的功能和工作原理</t>
  </si>
  <si>
    <t>5.5 异常和中断机制</t>
  </si>
  <si>
    <t>5.6 指令流水线</t>
  </si>
  <si>
    <t>5.7 多处理器的基本概念</t>
  </si>
  <si>
    <t>第6章 总线</t>
  </si>
  <si>
    <t>6.1 总线概述</t>
  </si>
  <si>
    <t>6.2 总线事务和定时</t>
  </si>
  <si>
    <t>第7章 输入/输出系统</t>
  </si>
  <si>
    <t>7.1 I/O系统基本概念</t>
  </si>
  <si>
    <t>7.2 I/O接口</t>
  </si>
  <si>
    <t>7.3 I/O方式</t>
  </si>
  <si>
    <t>王道数据结构 课后习题正确率记录</t>
  </si>
  <si>
    <t>第1章 绪论</t>
  </si>
  <si>
    <t>1.1 数据结构的基本概念</t>
  </si>
  <si>
    <t>1.2 算法和算法评价</t>
  </si>
  <si>
    <t>第2章 线性表</t>
  </si>
  <si>
    <t>2.1 线性表的定义和基本操作</t>
  </si>
  <si>
    <t>2.2 线性表的顺序表示</t>
  </si>
  <si>
    <t>2.3 线性表的链式表示</t>
  </si>
  <si>
    <t>第3章 栈、队列和数组</t>
  </si>
  <si>
    <t>3.1 栈</t>
  </si>
  <si>
    <t>3.2 队列</t>
  </si>
  <si>
    <t>3.3 栈和队列的应用</t>
  </si>
  <si>
    <t>3.4 数组和特殊矩阵</t>
  </si>
  <si>
    <t>第4章 串</t>
  </si>
  <si>
    <t>4.1 串的定义和实现</t>
  </si>
  <si>
    <t>4.2 串的模式匹配</t>
  </si>
  <si>
    <t>第5章 树与二叉树</t>
  </si>
  <si>
    <t>5.1 树的基本概念</t>
  </si>
  <si>
    <t>5.2 二叉树的概念</t>
  </si>
  <si>
    <t>5.3 二叉树的遍历和线索二叉树</t>
  </si>
  <si>
    <t>5.4 树、森林</t>
  </si>
  <si>
    <t>5.5 树与二叉树的应用</t>
  </si>
  <si>
    <t>第6章 图</t>
  </si>
  <si>
    <t>6.1 图的基本概念</t>
  </si>
  <si>
    <t>6.2 图的存储及基本操作</t>
  </si>
  <si>
    <t>6.3 图的遍历</t>
  </si>
  <si>
    <t>6.4 图的应用</t>
  </si>
  <si>
    <t>第7章 查找</t>
  </si>
  <si>
    <t>7.1 查找的基本概念</t>
  </si>
  <si>
    <t>7.2 顺序查找和折半查找</t>
  </si>
  <si>
    <t>7.3 树形查找</t>
  </si>
  <si>
    <t>7.4 B树和B+树</t>
  </si>
  <si>
    <t>7.5 散列(Hash)表</t>
  </si>
  <si>
    <t>第8章 排序</t>
  </si>
  <si>
    <t>8.1 排序的基本概念</t>
  </si>
  <si>
    <t>8.2 插入排序</t>
  </si>
  <si>
    <t>8.3 交换排序</t>
  </si>
  <si>
    <t>8.4 选择排序</t>
  </si>
  <si>
    <t>8.5 归并排序、基数排序和计数排序</t>
  </si>
  <si>
    <t>8.6 各种内部排序算法的比较及应用</t>
  </si>
  <si>
    <t>8.7 外部排序</t>
  </si>
  <si>
    <t>王道计算机网络 课后习题正确率记录</t>
  </si>
  <si>
    <t>第1章 计算机网络体系结构</t>
  </si>
  <si>
    <t>1.1 计算机网络概述</t>
  </si>
  <si>
    <t>1.2 计算机网络体系结构与参考模型</t>
  </si>
  <si>
    <t>第2章 物理层</t>
  </si>
  <si>
    <t>2.1 通信基础</t>
  </si>
  <si>
    <t>2.2 传输介质</t>
  </si>
  <si>
    <t>2.3 物理层设备</t>
  </si>
  <si>
    <t>第3章 数据链路层</t>
  </si>
  <si>
    <t>3.1 数据链路层的功能</t>
  </si>
  <si>
    <t>3.2 组帧</t>
  </si>
  <si>
    <t>3.3 差错控制</t>
  </si>
  <si>
    <t>3.4 流量控制与可靠传输机制</t>
  </si>
  <si>
    <t>3.5 介质访问控制</t>
  </si>
  <si>
    <t>3.6 局域网</t>
  </si>
  <si>
    <t>3.7 广域网</t>
  </si>
  <si>
    <t>3.8 数据链路层设备</t>
  </si>
  <si>
    <t>第4章 网络层</t>
  </si>
  <si>
    <t>4.1 网络层的功能</t>
  </si>
  <si>
    <t>4.2 IPv4</t>
  </si>
  <si>
    <t>4.3 IPv6</t>
  </si>
  <si>
    <t>4.4 路由算法与路由协议</t>
  </si>
  <si>
    <t>4.5 IP多播</t>
  </si>
  <si>
    <t>4.6 移动IP</t>
  </si>
  <si>
    <t>4.7 网络层设备</t>
  </si>
  <si>
    <t>第5章 传输层</t>
  </si>
  <si>
    <t>5.1 传输层提供的服务</t>
  </si>
  <si>
    <t>5.2 UDP</t>
  </si>
  <si>
    <t>5.3 TCP</t>
  </si>
  <si>
    <t>第6章 应用层</t>
  </si>
  <si>
    <t>6.1 网络应用模型</t>
  </si>
  <si>
    <t>6.2 域名系统</t>
  </si>
  <si>
    <t>6.3 文件传输协议</t>
  </si>
  <si>
    <t>6.4 电子邮件</t>
  </si>
  <si>
    <t>6.5 万维网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</si>
</sst>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color theme="1"/>
      <name val="宋体"/>
      <family val="2"/>
      <scheme val="minor"/>
    </font>
    <font>
      <b/>
      <sz val="14"/>
      <color rgb="FF2F5496"/>
      <name val="宋体"/>
      <charset val="134"/>
    </font>
    <font>
      <b/>
      <sz val="10"/>
      <color rgb="FFFFFFFF"/>
      <name val="宋体"/>
      <charset val="134"/>
    </font>
    <font>
      <b/>
      <sz val="11"/>
      <color rgb="FF2F5496"/>
      <name val="宋体"/>
      <charset val="134"/>
    </font>
    <font>
      <b/>
      <sz val="10"/>
      <name val="宋体"/>
      <charset val="134"/>
    </font>
    <font>
      <b/>
      <sz val="11"/>
      <color rgb="FF375623"/>
      <name val="宋体"/>
      <charset val="134"/>
    </font>
    <font>
      <b/>
      <sz val="12"/>
      <color rgb="FF2F5496"/>
      <name val="宋体"/>
      <charset val="134"/>
    </font>
    <font>
      <sz val="10.5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4B4C2"/>
        <bgColor rgb="FFF4B4C2"/>
      </patternFill>
    </fill>
    <fill>
      <patternFill patternType="solid">
        <fgColor rgb="FFEBF5FB"/>
        <bgColor rgb="FFEBF5F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7" fillId="7" borderId="4" xfId="0" applyFont="1" applyFill="1" applyBorder="1" applyAlignment="1">
      <alignment horizontal="center" vertical="center" wrapText="1"/>
    </xf>
    <xf numFmtId="176" fontId="7" fillId="7" borderId="4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21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sz val="10.5"/>
        <color rgb="FF006100"/>
        <name val="微软雅黑"/>
      </font>
      <fill>
        <patternFill patternType="solid">
          <fgColor rgb="FFC6EFCE"/>
          <bgColor rgb="FFC6EFCE"/>
        </patternFill>
      </fill>
    </dxf>
    <dxf>
      <font>
        <b/>
        <sz val="10.5"/>
        <color rgb="FF9C0006"/>
        <name val="微软雅黑"/>
      </font>
      <fill>
        <patternFill patternType="solid">
          <fgColor rgb="FFFFC7CE"/>
          <bgColor rgb="FFFFC7CE"/>
        </patternFill>
      </fill>
    </dxf>
    <dxf>
      <font>
        <b/>
        <sz val="10.5"/>
        <color rgb="FF9C6500"/>
        <name val="微软雅黑"/>
      </font>
      <fill>
        <patternFill patternType="solid">
          <fgColor rgb="FFFFEB9C"/>
          <bgColor rgb="FFFFEB9C"/>
        </patternFill>
      </fill>
    </dxf>
    <dxf>
      <font>
        <b/>
        <sz val="10.5"/>
        <color rgb="FF9C0006"/>
        <name val="微软雅黑"/>
      </font>
      <fill>
        <patternFill patternType="solid">
          <fgColor rgb="FFFFC7CE"/>
          <bgColor rgb="FFFFC7CE"/>
        </patternFill>
      </fill>
    </dxf>
    <dxf>
      <font>
        <b/>
        <sz val="10.5"/>
        <color rgb="FF9C6500"/>
        <name val="微软雅黑"/>
      </font>
      <fill>
        <patternFill patternType="solid">
          <fgColor rgb="FFFFEB9C"/>
          <bgColor rgb="FFFFEB9C"/>
        </patternFill>
      </fill>
    </dxf>
    <dxf>
      <font>
        <b/>
        <sz val="10.5"/>
        <color rgb="FF006100"/>
        <name val="微软雅黑"/>
      </font>
      <fill>
        <patternFill patternType="solid">
          <fgColor rgb="FFC6EFCE"/>
          <bgColor rgb="FFC6EFCE"/>
        </patternFill>
      </fill>
    </dxf>
    <dxf>
      <font>
        <b/>
        <sz val="10.5"/>
        <color rgb="FF9C0006"/>
        <name val="微软雅黑"/>
      </font>
      <fill>
        <patternFill patternType="solid">
          <fgColor rgb="FFFFC7CE"/>
          <bgColor rgb="FFFFC7CE"/>
        </patternFill>
      </fill>
    </dxf>
    <dxf>
      <font>
        <b/>
        <sz val="10.5"/>
        <color rgb="FF9C6500"/>
        <name val="微软雅黑"/>
      </font>
      <fill>
        <patternFill patternType="solid">
          <fgColor rgb="FFFFEB9C"/>
          <bgColor rgb="FFFFEB9C"/>
        </patternFill>
      </fill>
    </dxf>
    <dxf>
      <font>
        <b/>
        <sz val="10.5"/>
        <color rgb="FF006100"/>
        <name val="微软雅黑"/>
      </font>
      <fill>
        <patternFill patternType="solid">
          <fgColor rgb="FFC6EFCE"/>
          <bgColor rgb="FFC6EFCE"/>
        </patternFill>
      </fill>
    </dxf>
    <dxf>
      <font>
        <b/>
        <sz val="10.5"/>
        <color rgb="FF9C0006"/>
        <name val="微软雅黑"/>
      </font>
      <fill>
        <patternFill patternType="solid">
          <fgColor rgb="FFFFC7CE"/>
          <bgColor rgb="FFFFC7CE"/>
        </patternFill>
      </fill>
    </dxf>
    <dxf>
      <font>
        <b/>
        <sz val="10.5"/>
        <color rgb="FF9C6500"/>
        <name val="微软雅黑"/>
      </font>
      <fill>
        <patternFill patternType="solid">
          <fgColor rgb="FFFFEB9C"/>
          <bgColor rgb="FFFFEB9C"/>
        </patternFill>
      </fill>
    </dxf>
    <dxf>
      <font>
        <b/>
        <sz val="10.5"/>
        <color rgb="FF006100"/>
        <name val="微软雅黑"/>
      </font>
      <fill>
        <patternFill patternType="solid">
          <fgColor rgb="FFC6EFCE"/>
          <bgColor rgb="FFC6EFCE"/>
        </patternFill>
      </fill>
    </dxf>
    <dxf>
      <font>
        <b/>
        <sz val="10.5"/>
        <color rgb="FF9C0006"/>
        <name val="微软雅黑"/>
      </font>
      <fill>
        <patternFill patternType="solid">
          <fgColor rgb="FFFFC7CE"/>
          <bgColor rgb="FFFFC7CE"/>
        </patternFill>
      </fill>
    </dxf>
    <dxf>
      <font>
        <b/>
        <sz val="10.5"/>
        <color rgb="FF9C6500"/>
        <name val="微软雅黑"/>
      </font>
      <fill>
        <patternFill patternType="solid">
          <fgColor rgb="FFFFEB9C"/>
          <bgColor rgb="FFFFEB9C"/>
        </patternFill>
      </fill>
    </dxf>
    <dxf>
      <font>
        <b/>
        <sz val="10.5"/>
        <color rgb="FF006100"/>
        <name val="微软雅黑"/>
      </font>
      <fill>
        <patternFill patternType="solid">
          <fgColor rgb="FFC6EFCE"/>
          <bgColor rgb="FFC6EFCE"/>
        </patternFill>
      </fill>
    </dxf>
    <dxf>
      <font>
        <b/>
        <sz val="10.5"/>
        <color rgb="FF9C0006"/>
        <name val="微软雅黑"/>
      </font>
      <fill>
        <patternFill patternType="solid">
          <fgColor rgb="FFFFC7CE"/>
          <bgColor rgb="FFFFC7CE"/>
        </patternFill>
      </fill>
    </dxf>
    <dxf>
      <font>
        <b/>
        <sz val="10.5"/>
        <color rgb="FF9C6500"/>
        <name val="微软雅黑"/>
      </font>
      <fill>
        <patternFill patternType="solid">
          <fgColor rgb="FFFFEB9C"/>
          <bgColor rgb="FFFFEB9C"/>
        </patternFill>
      </fill>
    </dxf>
    <dxf>
      <font>
        <b/>
        <sz val="10.5"/>
        <color rgb="FF006100"/>
        <name val="微软雅黑"/>
      </font>
      <fill>
        <patternFill patternType="solid">
          <fgColor rgb="FFC6EFCE"/>
          <bgColor rgb="FFC6EFCE"/>
        </patternFill>
      </fill>
    </dxf>
    <dxf>
      <font>
        <b/>
        <sz val="10.5"/>
        <color rgb="FF9C0006"/>
        <name val="微软雅黑"/>
      </font>
      <fill>
        <patternFill patternType="solid">
          <fgColor rgb="FFFFC7CE"/>
          <bgColor rgb="FFFFC7CE"/>
        </patternFill>
      </fill>
    </dxf>
    <dxf>
      <font>
        <b/>
        <sz val="10.5"/>
        <color rgb="FF9C6500"/>
        <name val="微软雅黑"/>
      </font>
      <fill>
        <patternFill patternType="solid">
          <fgColor rgb="FFFFEB9C"/>
          <bgColor rgb="FFFFEB9C"/>
        </patternFill>
      </fill>
    </dxf>
    <dxf>
      <font>
        <b/>
        <sz val="10.5"/>
        <color rgb="FF006100"/>
        <name val="微软雅黑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sz val="10.5"/>
        <color rgb="FF9C0006"/>
        <name val="微软雅黑"/>
      </font>
      <fill>
        <patternFill patternType="solid">
          <fgColor rgb="FFFFC7CE"/>
          <bgColor rgb="FFFFC7CE"/>
        </patternFill>
      </fill>
    </dxf>
    <dxf>
      <font>
        <b/>
        <sz val="10.5"/>
        <color rgb="FF9C6500"/>
        <name val="微软雅黑"/>
      </font>
      <fill>
        <patternFill patternType="solid">
          <fgColor rgb="FFFFEB9C"/>
          <bgColor rgb="FFFFEB9C"/>
        </patternFill>
      </fill>
    </dxf>
    <dxf>
      <font>
        <b/>
        <sz val="10.5"/>
        <color rgb="FF006100"/>
        <name val="微软雅黑"/>
      </font>
      <fill>
        <patternFill patternType="solid">
          <fgColor rgb="FFC6EFCE"/>
          <bgColor rgb="FFC6EFCE"/>
        </patternFill>
      </fill>
    </dxf>
    <dxf>
      <font>
        <b/>
        <sz val="10.5"/>
        <color rgb="FF9C0006"/>
        <name val="微软雅黑"/>
      </font>
      <fill>
        <patternFill patternType="solid">
          <fgColor rgb="FFFFC7CE"/>
          <bgColor rgb="FFFFC7CE"/>
        </patternFill>
      </fill>
    </dxf>
    <dxf>
      <font>
        <b/>
        <sz val="10.5"/>
        <color rgb="FF9C6500"/>
        <name val="微软雅黑"/>
      </font>
      <fill>
        <patternFill patternType="solid">
          <fgColor rgb="FFFFEB9C"/>
          <bgColor rgb="FFFFEB9C"/>
        </patternFill>
      </fill>
    </dxf>
    <dxf>
      <font>
        <b/>
        <sz val="10.5"/>
        <color rgb="FF006100"/>
        <name val="微软雅黑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sz val="10.5"/>
        <color rgb="FF9C0006"/>
        <name val="微软雅黑"/>
      </font>
      <fill>
        <patternFill patternType="solid">
          <fgColor rgb="FFFFC7CE"/>
          <bgColor rgb="FFFFC7CE"/>
        </patternFill>
      </fill>
    </dxf>
    <dxf>
      <font>
        <b/>
        <sz val="10.5"/>
        <color rgb="FF9C6500"/>
        <name val="微软雅黑"/>
      </font>
      <fill>
        <patternFill patternType="solid">
          <fgColor rgb="FFFFEB9C"/>
          <bgColor rgb="FFFFEB9C"/>
        </patternFill>
      </fill>
    </dxf>
    <dxf>
      <font>
        <b/>
        <sz val="10.5"/>
        <color rgb="FF006100"/>
        <name val="微软雅黑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E279"/>
  <sheetViews>
    <sheetView tabSelected="1" workbookViewId="0">
      <selection activeCell="E19" sqref="E19"/>
    </sheetView>
  </sheetViews>
  <sheetFormatPr defaultRowHeight="14" x14ac:dyDescent="0.25"/>
  <cols>
    <col min="1" max="1" width="69.36328125" customWidth="1"/>
    <col min="2" max="2" width="10" customWidth="1"/>
    <col min="3" max="4" width="11" customWidth="1"/>
    <col min="5" max="5" width="13" customWidth="1"/>
  </cols>
  <sheetData>
    <row r="1" spans="1:5" ht="30" customHeight="1" x14ac:dyDescent="0.25">
      <c r="A1" s="16" t="s">
        <v>0</v>
      </c>
      <c r="B1" s="17"/>
      <c r="C1" s="17"/>
      <c r="D1" s="17"/>
      <c r="E1" s="17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5" customHeight="1" x14ac:dyDescent="0.25">
      <c r="A4" s="13" t="s">
        <v>6</v>
      </c>
      <c r="B4" s="14"/>
      <c r="C4" s="14"/>
      <c r="D4" s="14"/>
      <c r="E4" s="15"/>
    </row>
    <row r="5" spans="1:5" x14ac:dyDescent="0.25">
      <c r="A5" s="6" t="s">
        <v>7</v>
      </c>
      <c r="B5" s="4"/>
      <c r="C5" s="4"/>
      <c r="D5" s="4"/>
      <c r="E5" s="4"/>
    </row>
    <row r="6" spans="1:5" ht="15" customHeight="1" x14ac:dyDescent="0.25">
      <c r="A6" s="7" t="s">
        <v>8</v>
      </c>
      <c r="B6" s="2"/>
      <c r="C6" s="11">
        <v>10</v>
      </c>
      <c r="D6" s="11">
        <v>10</v>
      </c>
      <c r="E6" s="12">
        <f t="shared" ref="E6:E24" si="0">IF(AND(C6&lt;&gt;"",D6&lt;&gt;""),D6/C6,"")</f>
        <v>1</v>
      </c>
    </row>
    <row r="7" spans="1:5" ht="15" customHeight="1" x14ac:dyDescent="0.25">
      <c r="A7" s="7" t="s">
        <v>9</v>
      </c>
      <c r="B7" s="2"/>
      <c r="C7" s="11">
        <v>23</v>
      </c>
      <c r="D7" s="11">
        <v>20</v>
      </c>
      <c r="E7" s="12">
        <f t="shared" si="0"/>
        <v>0.86956521739130432</v>
      </c>
    </row>
    <row r="8" spans="1:5" ht="15" customHeight="1" x14ac:dyDescent="0.25">
      <c r="A8" s="7" t="s">
        <v>10</v>
      </c>
      <c r="B8" s="2"/>
      <c r="C8" s="11">
        <v>12</v>
      </c>
      <c r="D8" s="11">
        <v>11</v>
      </c>
      <c r="E8" s="12">
        <f t="shared" si="0"/>
        <v>0.91666666666666663</v>
      </c>
    </row>
    <row r="9" spans="1:5" ht="15" customHeight="1" x14ac:dyDescent="0.25">
      <c r="A9" s="7" t="s">
        <v>11</v>
      </c>
      <c r="B9" s="2"/>
      <c r="C9" s="11">
        <v>15</v>
      </c>
      <c r="D9" s="11">
        <v>12</v>
      </c>
      <c r="E9" s="12">
        <f t="shared" si="0"/>
        <v>0.8</v>
      </c>
    </row>
    <row r="10" spans="1:5" ht="15" customHeight="1" x14ac:dyDescent="0.25">
      <c r="A10" s="7" t="s">
        <v>12</v>
      </c>
      <c r="B10" s="2"/>
      <c r="C10" s="11">
        <v>18</v>
      </c>
      <c r="D10" s="11">
        <v>15</v>
      </c>
      <c r="E10" s="12">
        <f t="shared" si="0"/>
        <v>0.83333333333333337</v>
      </c>
    </row>
    <row r="11" spans="1:5" ht="15" customHeight="1" x14ac:dyDescent="0.25">
      <c r="A11" s="7" t="s">
        <v>13</v>
      </c>
      <c r="B11" s="2"/>
      <c r="C11" s="11">
        <v>24</v>
      </c>
      <c r="D11" s="11">
        <v>18</v>
      </c>
      <c r="E11" s="12">
        <f t="shared" si="0"/>
        <v>0.75</v>
      </c>
    </row>
    <row r="12" spans="1:5" ht="15" customHeight="1" x14ac:dyDescent="0.25">
      <c r="A12" s="7" t="s">
        <v>14</v>
      </c>
      <c r="B12" s="2"/>
      <c r="C12" s="11">
        <v>22</v>
      </c>
      <c r="D12" s="11">
        <v>20</v>
      </c>
      <c r="E12" s="12">
        <f t="shared" si="0"/>
        <v>0.90909090909090906</v>
      </c>
    </row>
    <row r="13" spans="1:5" ht="15" customHeight="1" x14ac:dyDescent="0.25">
      <c r="A13" s="7" t="s">
        <v>15</v>
      </c>
      <c r="B13" s="2"/>
      <c r="C13" s="11"/>
      <c r="D13" s="11"/>
      <c r="E13" s="12" t="str">
        <f t="shared" si="0"/>
        <v/>
      </c>
    </row>
    <row r="14" spans="1:5" ht="15" customHeight="1" x14ac:dyDescent="0.25">
      <c r="A14" s="7" t="s">
        <v>16</v>
      </c>
      <c r="B14" s="2"/>
      <c r="C14" s="11">
        <v>25</v>
      </c>
      <c r="D14" s="11">
        <v>24</v>
      </c>
      <c r="E14" s="12">
        <f t="shared" si="0"/>
        <v>0.96</v>
      </c>
    </row>
    <row r="15" spans="1:5" ht="15" customHeight="1" x14ac:dyDescent="0.25">
      <c r="A15" s="7" t="s">
        <v>17</v>
      </c>
      <c r="B15" s="2"/>
      <c r="C15" s="11">
        <v>36</v>
      </c>
      <c r="D15" s="11">
        <v>28</v>
      </c>
      <c r="E15" s="12">
        <f t="shared" si="0"/>
        <v>0.77777777777777779</v>
      </c>
    </row>
    <row r="16" spans="1:5" ht="15" customHeight="1" x14ac:dyDescent="0.25">
      <c r="A16" s="7" t="s">
        <v>18</v>
      </c>
      <c r="B16" s="2"/>
      <c r="C16" s="11">
        <v>19</v>
      </c>
      <c r="D16" s="11">
        <v>10</v>
      </c>
      <c r="E16" s="12">
        <f t="shared" si="0"/>
        <v>0.52631578947368418</v>
      </c>
    </row>
    <row r="17" spans="1:5" x14ac:dyDescent="0.25">
      <c r="A17" s="7" t="s">
        <v>19</v>
      </c>
      <c r="B17" s="2"/>
      <c r="C17" s="2"/>
      <c r="D17" s="2"/>
      <c r="E17" s="2" t="str">
        <f t="shared" si="0"/>
        <v/>
      </c>
    </row>
    <row r="18" spans="1:5" x14ac:dyDescent="0.25">
      <c r="A18" s="7" t="s">
        <v>20</v>
      </c>
      <c r="B18" s="2"/>
      <c r="C18" s="2"/>
      <c r="D18" s="2"/>
      <c r="E18" s="2" t="str">
        <f t="shared" si="0"/>
        <v/>
      </c>
    </row>
    <row r="19" spans="1:5" x14ac:dyDescent="0.25">
      <c r="A19" s="7" t="s">
        <v>21</v>
      </c>
      <c r="B19" s="2"/>
      <c r="C19" s="2"/>
      <c r="D19" s="2"/>
      <c r="E19" s="2" t="str">
        <f t="shared" si="0"/>
        <v/>
      </c>
    </row>
    <row r="20" spans="1:5" x14ac:dyDescent="0.25">
      <c r="A20" s="7" t="s">
        <v>22</v>
      </c>
      <c r="B20" s="2"/>
      <c r="C20" s="2"/>
      <c r="D20" s="2"/>
      <c r="E20" s="2" t="str">
        <f t="shared" si="0"/>
        <v/>
      </c>
    </row>
    <row r="21" spans="1:5" x14ac:dyDescent="0.25">
      <c r="A21" s="7" t="s">
        <v>23</v>
      </c>
      <c r="B21" s="2"/>
      <c r="C21" s="2"/>
      <c r="D21" s="2"/>
      <c r="E21" s="2" t="str">
        <f t="shared" si="0"/>
        <v/>
      </c>
    </row>
    <row r="22" spans="1:5" x14ac:dyDescent="0.25">
      <c r="A22" s="7" t="s">
        <v>24</v>
      </c>
      <c r="B22" s="2"/>
      <c r="C22" s="2"/>
      <c r="D22" s="2"/>
      <c r="E22" s="2" t="str">
        <f t="shared" si="0"/>
        <v/>
      </c>
    </row>
    <row r="23" spans="1:5" x14ac:dyDescent="0.25">
      <c r="A23" s="7" t="s">
        <v>25</v>
      </c>
      <c r="B23" s="2"/>
      <c r="C23" s="2"/>
      <c r="D23" s="2"/>
      <c r="E23" s="2" t="str">
        <f t="shared" si="0"/>
        <v/>
      </c>
    </row>
    <row r="24" spans="1:5" x14ac:dyDescent="0.25">
      <c r="A24" s="7" t="s">
        <v>26</v>
      </c>
      <c r="B24" s="2"/>
      <c r="C24" s="2"/>
      <c r="D24" s="2"/>
      <c r="E24" s="2" t="str">
        <f t="shared" si="0"/>
        <v/>
      </c>
    </row>
    <row r="25" spans="1:5" x14ac:dyDescent="0.25">
      <c r="A25" s="6" t="s">
        <v>27</v>
      </c>
      <c r="B25" s="4"/>
      <c r="C25" s="4"/>
      <c r="D25" s="4"/>
      <c r="E25" s="4"/>
    </row>
    <row r="26" spans="1:5" x14ac:dyDescent="0.25">
      <c r="A26" s="7" t="s">
        <v>28</v>
      </c>
      <c r="B26" s="2"/>
      <c r="C26" s="2">
        <v>11</v>
      </c>
      <c r="D26" s="2">
        <v>5</v>
      </c>
      <c r="E26" s="2">
        <f t="shared" ref="E26:E31" si="1">IF(AND(C26&lt;&gt;"",D26&lt;&gt;""),D26/C26,"")</f>
        <v>0.45454545454545453</v>
      </c>
    </row>
    <row r="27" spans="1:5" x14ac:dyDescent="0.25">
      <c r="A27" s="7" t="s">
        <v>29</v>
      </c>
      <c r="B27" s="2"/>
      <c r="C27" s="2">
        <v>19</v>
      </c>
      <c r="D27" s="2">
        <v>15</v>
      </c>
      <c r="E27" s="2">
        <f t="shared" si="1"/>
        <v>0.78947368421052633</v>
      </c>
    </row>
    <row r="28" spans="1:5" x14ac:dyDescent="0.25">
      <c r="A28" s="7" t="s">
        <v>30</v>
      </c>
      <c r="B28" s="2"/>
      <c r="C28" s="2">
        <v>15</v>
      </c>
      <c r="D28" s="2">
        <v>13</v>
      </c>
      <c r="E28" s="2">
        <f t="shared" si="1"/>
        <v>0.8666666666666667</v>
      </c>
    </row>
    <row r="29" spans="1:5" x14ac:dyDescent="0.25">
      <c r="A29" s="7" t="s">
        <v>31</v>
      </c>
      <c r="B29" s="2"/>
      <c r="C29" s="2">
        <v>17</v>
      </c>
      <c r="D29" s="2">
        <v>11</v>
      </c>
      <c r="E29" s="2">
        <f t="shared" si="1"/>
        <v>0.6470588235294118</v>
      </c>
    </row>
    <row r="30" spans="1:5" x14ac:dyDescent="0.25">
      <c r="A30" s="7" t="s">
        <v>32</v>
      </c>
      <c r="B30" s="2"/>
      <c r="C30" s="2"/>
      <c r="D30" s="2"/>
      <c r="E30" s="2" t="str">
        <f t="shared" si="1"/>
        <v/>
      </c>
    </row>
    <row r="31" spans="1:5" x14ac:dyDescent="0.25">
      <c r="A31" s="7" t="s">
        <v>33</v>
      </c>
      <c r="B31" s="2"/>
      <c r="C31" s="2"/>
      <c r="D31" s="2"/>
      <c r="E31" s="2" t="str">
        <f t="shared" si="1"/>
        <v/>
      </c>
    </row>
    <row r="32" spans="1:5" x14ac:dyDescent="0.25">
      <c r="A32" s="6" t="s">
        <v>34</v>
      </c>
      <c r="B32" s="4"/>
      <c r="C32" s="4"/>
      <c r="D32" s="4"/>
      <c r="E32" s="4"/>
    </row>
    <row r="33" spans="1:5" x14ac:dyDescent="0.25">
      <c r="A33" s="7" t="s">
        <v>35</v>
      </c>
      <c r="B33" s="2"/>
      <c r="C33" s="2"/>
      <c r="D33" s="2"/>
      <c r="E33" s="2" t="str">
        <f t="shared" ref="E33:E38" si="2">IF(AND(C33&lt;&gt;"",D33&lt;&gt;""),D33/C33,"")</f>
        <v/>
      </c>
    </row>
    <row r="34" spans="1:5" x14ac:dyDescent="0.25">
      <c r="A34" s="7" t="s">
        <v>36</v>
      </c>
      <c r="B34" s="2"/>
      <c r="C34" s="2"/>
      <c r="D34" s="2"/>
      <c r="E34" s="2" t="str">
        <f t="shared" si="2"/>
        <v/>
      </c>
    </row>
    <row r="35" spans="1:5" x14ac:dyDescent="0.25">
      <c r="A35" s="7" t="s">
        <v>37</v>
      </c>
      <c r="B35" s="2"/>
      <c r="C35" s="2"/>
      <c r="D35" s="2"/>
      <c r="E35" s="2" t="str">
        <f t="shared" si="2"/>
        <v/>
      </c>
    </row>
    <row r="36" spans="1:5" x14ac:dyDescent="0.25">
      <c r="A36" s="7" t="s">
        <v>38</v>
      </c>
      <c r="B36" s="2"/>
      <c r="C36" s="2"/>
      <c r="D36" s="2"/>
      <c r="E36" s="2" t="str">
        <f t="shared" si="2"/>
        <v/>
      </c>
    </row>
    <row r="37" spans="1:5" x14ac:dyDescent="0.25">
      <c r="A37" s="7" t="s">
        <v>39</v>
      </c>
      <c r="B37" s="2"/>
      <c r="C37" s="2"/>
      <c r="D37" s="2"/>
      <c r="E37" s="2" t="str">
        <f t="shared" si="2"/>
        <v/>
      </c>
    </row>
    <row r="38" spans="1:5" x14ac:dyDescent="0.25">
      <c r="A38" s="7" t="s">
        <v>40</v>
      </c>
      <c r="B38" s="2"/>
      <c r="C38" s="2"/>
      <c r="D38" s="2"/>
      <c r="E38" s="2" t="str">
        <f t="shared" si="2"/>
        <v/>
      </c>
    </row>
    <row r="39" spans="1:5" x14ac:dyDescent="0.25">
      <c r="A39" s="8" t="s">
        <v>41</v>
      </c>
      <c r="B39" s="3"/>
      <c r="C39" s="3">
        <f>SUM(C5:C38)</f>
        <v>266</v>
      </c>
      <c r="D39" s="3">
        <f>SUM(D5:D38)</f>
        <v>212</v>
      </c>
      <c r="E39" s="3">
        <f>IF(C39&gt;0, D39/C39,"")</f>
        <v>0.79699248120300747</v>
      </c>
    </row>
    <row r="41" spans="1:5" ht="15" customHeight="1" x14ac:dyDescent="0.25">
      <c r="A41" s="13" t="s">
        <v>42</v>
      </c>
      <c r="B41" s="14"/>
      <c r="C41" s="14"/>
      <c r="D41" s="14"/>
      <c r="E41" s="15"/>
    </row>
    <row r="42" spans="1:5" x14ac:dyDescent="0.25">
      <c r="A42" s="6" t="s">
        <v>7</v>
      </c>
      <c r="B42" s="4"/>
      <c r="C42" s="4"/>
      <c r="D42" s="4"/>
      <c r="E42" s="4"/>
    </row>
    <row r="43" spans="1:5" x14ac:dyDescent="0.25">
      <c r="A43" s="7" t="s">
        <v>9</v>
      </c>
      <c r="B43" s="2"/>
      <c r="C43" s="2"/>
      <c r="D43" s="2"/>
      <c r="E43" s="2" t="str">
        <f t="shared" ref="E43:E60" si="3">IF(AND(C43&lt;&gt;"",D43&lt;&gt;""),D43/C43,"")</f>
        <v/>
      </c>
    </row>
    <row r="44" spans="1:5" x14ac:dyDescent="0.25">
      <c r="A44" s="7" t="s">
        <v>10</v>
      </c>
      <c r="B44" s="2"/>
      <c r="C44" s="2"/>
      <c r="D44" s="2"/>
      <c r="E44" s="2" t="str">
        <f t="shared" si="3"/>
        <v/>
      </c>
    </row>
    <row r="45" spans="1:5" x14ac:dyDescent="0.25">
      <c r="A45" s="7" t="s">
        <v>11</v>
      </c>
      <c r="B45" s="2"/>
      <c r="C45" s="2"/>
      <c r="D45" s="2"/>
      <c r="E45" s="2" t="str">
        <f t="shared" si="3"/>
        <v/>
      </c>
    </row>
    <row r="46" spans="1:5" x14ac:dyDescent="0.25">
      <c r="A46" s="7" t="s">
        <v>12</v>
      </c>
      <c r="B46" s="2"/>
      <c r="C46" s="2"/>
      <c r="D46" s="2"/>
      <c r="E46" s="2" t="str">
        <f t="shared" si="3"/>
        <v/>
      </c>
    </row>
    <row r="47" spans="1:5" x14ac:dyDescent="0.25">
      <c r="A47" s="7" t="s">
        <v>13</v>
      </c>
      <c r="B47" s="2"/>
      <c r="C47" s="2"/>
      <c r="D47" s="2"/>
      <c r="E47" s="2" t="str">
        <f t="shared" si="3"/>
        <v/>
      </c>
    </row>
    <row r="48" spans="1:5" x14ac:dyDescent="0.25">
      <c r="A48" s="7" t="s">
        <v>14</v>
      </c>
      <c r="B48" s="2"/>
      <c r="C48" s="2"/>
      <c r="D48" s="2"/>
      <c r="E48" s="2" t="str">
        <f t="shared" si="3"/>
        <v/>
      </c>
    </row>
    <row r="49" spans="1:5" x14ac:dyDescent="0.25">
      <c r="A49" s="7" t="s">
        <v>15</v>
      </c>
      <c r="B49" s="2"/>
      <c r="C49" s="2"/>
      <c r="D49" s="2"/>
      <c r="E49" s="2" t="str">
        <f t="shared" si="3"/>
        <v/>
      </c>
    </row>
    <row r="50" spans="1:5" x14ac:dyDescent="0.25">
      <c r="A50" s="7" t="s">
        <v>16</v>
      </c>
      <c r="B50" s="2"/>
      <c r="C50" s="2"/>
      <c r="D50" s="2"/>
      <c r="E50" s="2" t="str">
        <f t="shared" si="3"/>
        <v/>
      </c>
    </row>
    <row r="51" spans="1:5" x14ac:dyDescent="0.25">
      <c r="A51" s="7" t="s">
        <v>17</v>
      </c>
      <c r="B51" s="2"/>
      <c r="C51" s="2"/>
      <c r="D51" s="2"/>
      <c r="E51" s="2" t="str">
        <f t="shared" si="3"/>
        <v/>
      </c>
    </row>
    <row r="52" spans="1:5" x14ac:dyDescent="0.25">
      <c r="A52" s="7" t="s">
        <v>18</v>
      </c>
      <c r="B52" s="2"/>
      <c r="C52" s="2"/>
      <c r="D52" s="2"/>
      <c r="E52" s="2" t="str">
        <f t="shared" si="3"/>
        <v/>
      </c>
    </row>
    <row r="53" spans="1:5" x14ac:dyDescent="0.25">
      <c r="A53" s="7" t="s">
        <v>19</v>
      </c>
      <c r="B53" s="2"/>
      <c r="C53" s="2"/>
      <c r="D53" s="2"/>
      <c r="E53" s="2" t="str">
        <f t="shared" si="3"/>
        <v/>
      </c>
    </row>
    <row r="54" spans="1:5" x14ac:dyDescent="0.25">
      <c r="A54" s="7" t="s">
        <v>20</v>
      </c>
      <c r="B54" s="2"/>
      <c r="C54" s="2"/>
      <c r="D54" s="2"/>
      <c r="E54" s="2" t="str">
        <f t="shared" si="3"/>
        <v/>
      </c>
    </row>
    <row r="55" spans="1:5" x14ac:dyDescent="0.25">
      <c r="A55" s="7" t="s">
        <v>21</v>
      </c>
      <c r="B55" s="2"/>
      <c r="C55" s="2"/>
      <c r="D55" s="2"/>
      <c r="E55" s="2" t="str">
        <f t="shared" si="3"/>
        <v/>
      </c>
    </row>
    <row r="56" spans="1:5" x14ac:dyDescent="0.25">
      <c r="A56" s="7" t="s">
        <v>22</v>
      </c>
      <c r="B56" s="2"/>
      <c r="C56" s="2"/>
      <c r="D56" s="2"/>
      <c r="E56" s="2" t="str">
        <f t="shared" si="3"/>
        <v/>
      </c>
    </row>
    <row r="57" spans="1:5" x14ac:dyDescent="0.25">
      <c r="A57" s="7" t="s">
        <v>23</v>
      </c>
      <c r="B57" s="2"/>
      <c r="C57" s="2"/>
      <c r="D57" s="2"/>
      <c r="E57" s="2" t="str">
        <f t="shared" si="3"/>
        <v/>
      </c>
    </row>
    <row r="58" spans="1:5" x14ac:dyDescent="0.25">
      <c r="A58" s="7" t="s">
        <v>24</v>
      </c>
      <c r="B58" s="2"/>
      <c r="C58" s="2"/>
      <c r="D58" s="2"/>
      <c r="E58" s="2" t="str">
        <f t="shared" si="3"/>
        <v/>
      </c>
    </row>
    <row r="59" spans="1:5" x14ac:dyDescent="0.25">
      <c r="A59" s="7" t="s">
        <v>25</v>
      </c>
      <c r="B59" s="2"/>
      <c r="C59" s="2"/>
      <c r="D59" s="2"/>
      <c r="E59" s="2" t="str">
        <f t="shared" si="3"/>
        <v/>
      </c>
    </row>
    <row r="60" spans="1:5" x14ac:dyDescent="0.25">
      <c r="A60" s="7" t="s">
        <v>26</v>
      </c>
      <c r="B60" s="2"/>
      <c r="C60" s="2"/>
      <c r="D60" s="2"/>
      <c r="E60" s="2" t="str">
        <f t="shared" si="3"/>
        <v/>
      </c>
    </row>
    <row r="61" spans="1:5" x14ac:dyDescent="0.25">
      <c r="A61" s="8" t="s">
        <v>43</v>
      </c>
      <c r="B61" s="3"/>
      <c r="C61" s="3">
        <f>SUM(C42:C60)</f>
        <v>0</v>
      </c>
      <c r="D61" s="3">
        <f>SUM(D42:D60)</f>
        <v>0</v>
      </c>
      <c r="E61" s="3" t="str">
        <f>IF(C61&gt;0, D61/C61,"")</f>
        <v/>
      </c>
    </row>
    <row r="63" spans="1:5" ht="15" customHeight="1" x14ac:dyDescent="0.25">
      <c r="A63" s="13" t="s">
        <v>44</v>
      </c>
      <c r="B63" s="14"/>
      <c r="C63" s="14"/>
      <c r="D63" s="14"/>
      <c r="E63" s="15"/>
    </row>
    <row r="64" spans="1:5" x14ac:dyDescent="0.25">
      <c r="A64" s="6" t="s">
        <v>27</v>
      </c>
      <c r="B64" s="4"/>
      <c r="C64" s="4"/>
      <c r="D64" s="4"/>
      <c r="E64" s="4"/>
    </row>
    <row r="65" spans="1:5" x14ac:dyDescent="0.25">
      <c r="A65" s="7" t="s">
        <v>28</v>
      </c>
      <c r="B65" s="2"/>
      <c r="C65" s="2"/>
      <c r="D65" s="2"/>
      <c r="E65" s="2" t="str">
        <f t="shared" ref="E65:E73" si="4">IF(AND(C65&lt;&gt;"",D65&lt;&gt;""),D65/C65,"")</f>
        <v/>
      </c>
    </row>
    <row r="66" spans="1:5" x14ac:dyDescent="0.25">
      <c r="A66" s="7" t="s">
        <v>45</v>
      </c>
      <c r="B66" s="2"/>
      <c r="C66" s="2"/>
      <c r="D66" s="2"/>
      <c r="E66" s="2" t="str">
        <f t="shared" si="4"/>
        <v/>
      </c>
    </row>
    <row r="67" spans="1:5" x14ac:dyDescent="0.25">
      <c r="A67" s="7" t="s">
        <v>46</v>
      </c>
      <c r="B67" s="2"/>
      <c r="C67" s="2"/>
      <c r="D67" s="2"/>
      <c r="E67" s="2" t="str">
        <f t="shared" si="4"/>
        <v/>
      </c>
    </row>
    <row r="68" spans="1:5" x14ac:dyDescent="0.25">
      <c r="A68" s="7" t="s">
        <v>47</v>
      </c>
      <c r="B68" s="2"/>
      <c r="C68" s="2"/>
      <c r="D68" s="2"/>
      <c r="E68" s="2" t="str">
        <f t="shared" si="4"/>
        <v/>
      </c>
    </row>
    <row r="69" spans="1:5" x14ac:dyDescent="0.25">
      <c r="A69" s="7" t="s">
        <v>48</v>
      </c>
      <c r="B69" s="2"/>
      <c r="C69" s="2"/>
      <c r="D69" s="2"/>
      <c r="E69" s="2" t="str">
        <f t="shared" si="4"/>
        <v/>
      </c>
    </row>
    <row r="70" spans="1:5" x14ac:dyDescent="0.25">
      <c r="A70" s="7" t="s">
        <v>49</v>
      </c>
      <c r="B70" s="2"/>
      <c r="C70" s="2"/>
      <c r="D70" s="2"/>
      <c r="E70" s="2" t="str">
        <f t="shared" si="4"/>
        <v/>
      </c>
    </row>
    <row r="71" spans="1:5" x14ac:dyDescent="0.25">
      <c r="A71" s="7" t="s">
        <v>50</v>
      </c>
      <c r="B71" s="2"/>
      <c r="C71" s="2"/>
      <c r="D71" s="2"/>
      <c r="E71" s="2" t="str">
        <f t="shared" si="4"/>
        <v/>
      </c>
    </row>
    <row r="72" spans="1:5" x14ac:dyDescent="0.25">
      <c r="A72" s="7" t="s">
        <v>51</v>
      </c>
      <c r="B72" s="2"/>
      <c r="C72" s="2"/>
      <c r="D72" s="2"/>
      <c r="E72" s="2" t="str">
        <f t="shared" si="4"/>
        <v/>
      </c>
    </row>
    <row r="73" spans="1:5" x14ac:dyDescent="0.25">
      <c r="A73" s="7" t="s">
        <v>52</v>
      </c>
      <c r="B73" s="2"/>
      <c r="C73" s="2"/>
      <c r="D73" s="2"/>
      <c r="E73" s="2" t="str">
        <f t="shared" si="4"/>
        <v/>
      </c>
    </row>
    <row r="74" spans="1:5" x14ac:dyDescent="0.25">
      <c r="A74" s="6" t="s">
        <v>34</v>
      </c>
      <c r="B74" s="4"/>
      <c r="C74" s="4"/>
      <c r="D74" s="4"/>
      <c r="E74" s="4"/>
    </row>
    <row r="75" spans="1:5" x14ac:dyDescent="0.25">
      <c r="A75" s="7" t="s">
        <v>53</v>
      </c>
      <c r="B75" s="2"/>
      <c r="C75" s="2"/>
      <c r="D75" s="2"/>
      <c r="E75" s="2" t="str">
        <f t="shared" ref="E75:E83" si="5">IF(AND(C75&lt;&gt;"",D75&lt;&gt;""),D75/C75,"")</f>
        <v/>
      </c>
    </row>
    <row r="76" spans="1:5" x14ac:dyDescent="0.25">
      <c r="A76" s="7" t="s">
        <v>36</v>
      </c>
      <c r="B76" s="2"/>
      <c r="C76" s="2"/>
      <c r="D76" s="2"/>
      <c r="E76" s="2" t="str">
        <f t="shared" si="5"/>
        <v/>
      </c>
    </row>
    <row r="77" spans="1:5" x14ac:dyDescent="0.25">
      <c r="A77" s="7" t="s">
        <v>54</v>
      </c>
      <c r="B77" s="2"/>
      <c r="C77" s="2"/>
      <c r="D77" s="2"/>
      <c r="E77" s="2" t="str">
        <f t="shared" si="5"/>
        <v/>
      </c>
    </row>
    <row r="78" spans="1:5" x14ac:dyDescent="0.25">
      <c r="A78" s="7" t="s">
        <v>55</v>
      </c>
      <c r="B78" s="2"/>
      <c r="C78" s="2"/>
      <c r="D78" s="2"/>
      <c r="E78" s="2" t="str">
        <f t="shared" si="5"/>
        <v/>
      </c>
    </row>
    <row r="79" spans="1:5" x14ac:dyDescent="0.25">
      <c r="A79" s="7" t="s">
        <v>56</v>
      </c>
      <c r="B79" s="2"/>
      <c r="C79" s="2"/>
      <c r="D79" s="2"/>
      <c r="E79" s="2" t="str">
        <f t="shared" si="5"/>
        <v/>
      </c>
    </row>
    <row r="80" spans="1:5" x14ac:dyDescent="0.25">
      <c r="A80" s="7" t="s">
        <v>57</v>
      </c>
      <c r="B80" s="2"/>
      <c r="C80" s="2"/>
      <c r="D80" s="2"/>
      <c r="E80" s="2" t="str">
        <f t="shared" si="5"/>
        <v/>
      </c>
    </row>
    <row r="81" spans="1:5" x14ac:dyDescent="0.25">
      <c r="A81" s="7" t="s">
        <v>58</v>
      </c>
      <c r="B81" s="2"/>
      <c r="C81" s="2"/>
      <c r="D81" s="2"/>
      <c r="E81" s="2" t="str">
        <f t="shared" si="5"/>
        <v/>
      </c>
    </row>
    <row r="82" spans="1:5" x14ac:dyDescent="0.25">
      <c r="A82" s="7" t="s">
        <v>59</v>
      </c>
      <c r="B82" s="2"/>
      <c r="C82" s="2"/>
      <c r="D82" s="2"/>
      <c r="E82" s="2" t="str">
        <f t="shared" si="5"/>
        <v/>
      </c>
    </row>
    <row r="83" spans="1:5" x14ac:dyDescent="0.25">
      <c r="A83" s="7" t="s">
        <v>60</v>
      </c>
      <c r="B83" s="2"/>
      <c r="C83" s="2"/>
      <c r="D83" s="2"/>
      <c r="E83" s="2" t="str">
        <f t="shared" si="5"/>
        <v/>
      </c>
    </row>
    <row r="84" spans="1:5" ht="15" customHeight="1" x14ac:dyDescent="0.25">
      <c r="A84" s="13" t="s">
        <v>61</v>
      </c>
      <c r="B84" s="14"/>
      <c r="C84" s="14"/>
      <c r="D84" s="14"/>
      <c r="E84" s="15"/>
    </row>
    <row r="85" spans="1:5" x14ac:dyDescent="0.25">
      <c r="A85" s="7" t="s">
        <v>62</v>
      </c>
      <c r="B85" s="2"/>
      <c r="C85" s="2"/>
      <c r="D85" s="2"/>
      <c r="E85" s="2" t="str">
        <f>IF(AND(C85&lt;&gt;"",D85&lt;&gt;""),D85/C85,"")</f>
        <v/>
      </c>
    </row>
    <row r="86" spans="1:5" x14ac:dyDescent="0.25">
      <c r="A86" s="7" t="s">
        <v>63</v>
      </c>
      <c r="B86" s="2"/>
      <c r="C86" s="2"/>
      <c r="D86" s="2"/>
      <c r="E86" s="2" t="str">
        <f>IF(AND(C86&lt;&gt;"",D86&lt;&gt;""),D86/C86,"")</f>
        <v/>
      </c>
    </row>
    <row r="87" spans="1:5" x14ac:dyDescent="0.25">
      <c r="A87" s="7" t="s">
        <v>64</v>
      </c>
      <c r="B87" s="2"/>
      <c r="C87" s="2"/>
      <c r="D87" s="2"/>
      <c r="E87" s="2" t="str">
        <f>IF(AND(C87&lt;&gt;"",D87&lt;&gt;""),D87/C87,"")</f>
        <v/>
      </c>
    </row>
    <row r="88" spans="1:5" x14ac:dyDescent="0.25">
      <c r="A88" s="7" t="s">
        <v>65</v>
      </c>
      <c r="B88" s="2"/>
      <c r="C88" s="2"/>
      <c r="D88" s="2"/>
      <c r="E88" s="2" t="str">
        <f>IF(AND(C88&lt;&gt;"",D88&lt;&gt;""),D88/C88,"")</f>
        <v/>
      </c>
    </row>
    <row r="89" spans="1:5" x14ac:dyDescent="0.25">
      <c r="A89" s="8" t="s">
        <v>66</v>
      </c>
      <c r="B89" s="3"/>
      <c r="C89" s="3">
        <f>SUM(C64:C88)</f>
        <v>0</v>
      </c>
      <c r="D89" s="3">
        <f>SUM(D64:D88)</f>
        <v>0</v>
      </c>
      <c r="E89" s="3" t="str">
        <f>IF(C89&gt;0, D89/C89,"")</f>
        <v/>
      </c>
    </row>
    <row r="91" spans="1:5" x14ac:dyDescent="0.25">
      <c r="A91" s="5" t="s">
        <v>67</v>
      </c>
      <c r="B91" s="5"/>
      <c r="C91" s="5">
        <f>C39+C61+C89</f>
        <v>266</v>
      </c>
      <c r="D91" s="5">
        <f>D39+D61+D89</f>
        <v>212</v>
      </c>
      <c r="E91" s="5">
        <f>IF(C91&gt;0, D91/C91,"")</f>
        <v>0.79699248120300747</v>
      </c>
    </row>
    <row r="94" spans="1:5" hidden="1" x14ac:dyDescent="0.25"/>
    <row r="95" spans="1:5" hidden="1" x14ac:dyDescent="0.25"/>
    <row r="96" spans="1:5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</sheetData>
  <mergeCells count="5">
    <mergeCell ref="A63:E63"/>
    <mergeCell ref="A4:E4"/>
    <mergeCell ref="A41:E41"/>
    <mergeCell ref="A1:E1"/>
    <mergeCell ref="A84:E84"/>
  </mergeCells>
  <phoneticPr fontId="8" type="noConversion"/>
  <conditionalFormatting sqref="E6:E16">
    <cfRule type="cellIs" dxfId="215" priority="1" operator="greaterThanOrEqual">
      <formula>0.9</formula>
    </cfRule>
    <cfRule type="cellIs" dxfId="214" priority="2" operator="between">
      <formula>0.8</formula>
      <formula>0.9</formula>
    </cfRule>
    <cfRule type="cellIs" dxfId="213" priority="3" operator="lessThan">
      <formula>0.8</formula>
    </cfRule>
  </conditionalFormatting>
  <conditionalFormatting sqref="E17:E24">
    <cfRule type="cellIs" dxfId="212" priority="4" operator="greaterThanOrEqual">
      <formula>0.9</formula>
    </cfRule>
    <cfRule type="cellIs" dxfId="211" priority="5" operator="between">
      <formula>0.8</formula>
      <formula>0.9</formula>
    </cfRule>
    <cfRule type="cellIs" dxfId="210" priority="6" operator="lessThan">
      <formula>0.8</formula>
    </cfRule>
  </conditionalFormatting>
  <conditionalFormatting sqref="E26:E31">
    <cfRule type="cellIs" dxfId="209" priority="61" operator="greaterThanOrEqual">
      <formula>0.9</formula>
    </cfRule>
    <cfRule type="cellIs" dxfId="208" priority="62" operator="between">
      <formula>0.8</formula>
      <formula>0.9</formula>
    </cfRule>
    <cfRule type="cellIs" dxfId="207" priority="63" operator="lessThan">
      <formula>0.8</formula>
    </cfRule>
  </conditionalFormatting>
  <conditionalFormatting sqref="E34:E38">
    <cfRule type="cellIs" dxfId="206" priority="79" operator="greaterThanOrEqual">
      <formula>0.9</formula>
    </cfRule>
    <cfRule type="cellIs" dxfId="205" priority="80" operator="between">
      <formula>0.8</formula>
      <formula>0.9</formula>
    </cfRule>
    <cfRule type="cellIs" dxfId="204" priority="81" operator="lessThan">
      <formula>0.8</formula>
    </cfRule>
  </conditionalFormatting>
  <conditionalFormatting sqref="E40">
    <cfRule type="cellIs" dxfId="203" priority="211" operator="greaterThanOrEqual">
      <formula>0.9</formula>
    </cfRule>
    <cfRule type="cellIs" dxfId="202" priority="212" operator="between">
      <formula>0.8</formula>
      <formula>0.9</formula>
    </cfRule>
    <cfRule type="cellIs" dxfId="201" priority="213" operator="lessThan">
      <formula>0.8</formula>
    </cfRule>
  </conditionalFormatting>
  <conditionalFormatting sqref="E43:E60">
    <cfRule type="cellIs" dxfId="200" priority="94" operator="greaterThanOrEqual">
      <formula>0.9</formula>
    </cfRule>
    <cfRule type="cellIs" dxfId="199" priority="95" operator="between">
      <formula>0.8</formula>
      <formula>0.9</formula>
    </cfRule>
    <cfRule type="cellIs" dxfId="198" priority="96" operator="lessThan">
      <formula>0.8</formula>
    </cfRule>
  </conditionalFormatting>
  <conditionalFormatting sqref="E64:E73">
    <cfRule type="cellIs" dxfId="197" priority="148" operator="greaterThanOrEqual">
      <formula>0.9</formula>
    </cfRule>
    <cfRule type="cellIs" dxfId="196" priority="149" operator="between">
      <formula>0.8</formula>
      <formula>0.9</formula>
    </cfRule>
    <cfRule type="cellIs" dxfId="195" priority="150" operator="lessThan">
      <formula>0.8</formula>
    </cfRule>
  </conditionalFormatting>
  <conditionalFormatting sqref="E76:E83">
    <cfRule type="cellIs" dxfId="194" priority="175" operator="greaterThanOrEqual">
      <formula>0.9</formula>
    </cfRule>
    <cfRule type="cellIs" dxfId="193" priority="176" operator="between">
      <formula>0.8</formula>
      <formula>0.9</formula>
    </cfRule>
    <cfRule type="cellIs" dxfId="192" priority="177" operator="lessThan">
      <formula>0.8</formula>
    </cfRule>
  </conditionalFormatting>
  <conditionalFormatting sqref="E85:E88">
    <cfRule type="cellIs" dxfId="191" priority="199" operator="greaterThanOrEqual">
      <formula>0.9</formula>
    </cfRule>
    <cfRule type="cellIs" dxfId="190" priority="200" operator="between">
      <formula>0.8</formula>
      <formula>0.9</formula>
    </cfRule>
    <cfRule type="cellIs" dxfId="189" priority="201" operator="lessThan">
      <formula>0.8</formula>
    </cfRule>
  </conditionalFormatting>
  <conditionalFormatting sqref="E91">
    <cfRule type="cellIs" dxfId="188" priority="220" operator="greaterThanOrEqual">
      <formula>0.9</formula>
    </cfRule>
    <cfRule type="cellIs" dxfId="187" priority="221" operator="between">
      <formula>0.8</formula>
      <formula>0.9</formula>
    </cfRule>
    <cfRule type="cellIs" dxfId="186" priority="222" operator="lessThan">
      <formula>0.8</formula>
    </cfRule>
  </conditionalFormatting>
  <conditionalFormatting sqref="E94">
    <cfRule type="cellIs" dxfId="185" priority="217" operator="greaterThanOrEqual">
      <formula>0.9</formula>
    </cfRule>
    <cfRule type="cellIs" dxfId="184" priority="218" operator="between">
      <formula>0.8</formula>
      <formula>0.9</formula>
    </cfRule>
    <cfRule type="cellIs" dxfId="183" priority="219" operator="lessThan">
      <formula>0.8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I51"/>
  <sheetViews>
    <sheetView workbookViewId="0">
      <selection activeCell="E41" sqref="E41"/>
    </sheetView>
  </sheetViews>
  <sheetFormatPr defaultRowHeight="14" x14ac:dyDescent="0.25"/>
  <cols>
    <col min="1" max="1" width="26" customWidth="1"/>
    <col min="2" max="2" width="9" customWidth="1"/>
    <col min="3" max="5" width="11" customWidth="1"/>
    <col min="6" max="6" width="3" customWidth="1"/>
    <col min="7" max="9" width="11" customWidth="1"/>
  </cols>
  <sheetData>
    <row r="1" spans="1:9" ht="30" customHeight="1" x14ac:dyDescent="0.25">
      <c r="A1" s="16" t="s">
        <v>68</v>
      </c>
      <c r="B1" s="17"/>
      <c r="C1" s="17"/>
      <c r="D1" s="17"/>
      <c r="E1" s="17"/>
      <c r="F1" s="17"/>
      <c r="G1" s="17"/>
      <c r="H1" s="17"/>
      <c r="I1" s="17"/>
    </row>
    <row r="3" spans="1:9" x14ac:dyDescent="0.25">
      <c r="A3" s="19" t="s">
        <v>69</v>
      </c>
      <c r="B3" s="14"/>
      <c r="C3" s="14"/>
      <c r="D3" s="14"/>
      <c r="E3" s="15"/>
      <c r="F3" s="9"/>
      <c r="G3" s="18" t="s">
        <v>70</v>
      </c>
      <c r="H3" s="14"/>
      <c r="I3" s="15"/>
    </row>
    <row r="4" spans="1:9" x14ac:dyDescent="0.25">
      <c r="A4" s="1" t="s">
        <v>71</v>
      </c>
      <c r="B4" s="1" t="s">
        <v>2</v>
      </c>
      <c r="C4" s="1" t="s">
        <v>3</v>
      </c>
      <c r="D4" s="1" t="s">
        <v>4</v>
      </c>
      <c r="E4" s="1" t="s">
        <v>5</v>
      </c>
      <c r="F4" s="9"/>
      <c r="G4" s="1" t="s">
        <v>72</v>
      </c>
      <c r="H4" s="1" t="s">
        <v>73</v>
      </c>
      <c r="I4" s="1" t="s">
        <v>5</v>
      </c>
    </row>
    <row r="5" spans="1:9" x14ac:dyDescent="0.25">
      <c r="A5" s="10" t="s">
        <v>74</v>
      </c>
      <c r="B5" s="9"/>
      <c r="C5" s="9"/>
      <c r="D5" s="9"/>
      <c r="E5" s="9"/>
      <c r="F5" s="9"/>
      <c r="G5" s="9"/>
      <c r="H5" s="9"/>
      <c r="I5" s="9"/>
    </row>
    <row r="6" spans="1:9" ht="15" customHeight="1" x14ac:dyDescent="0.25">
      <c r="A6" s="7" t="s">
        <v>75</v>
      </c>
      <c r="B6" s="11">
        <v>530</v>
      </c>
      <c r="C6" s="11">
        <v>11</v>
      </c>
      <c r="D6" s="11">
        <v>10</v>
      </c>
      <c r="E6" s="12">
        <f t="shared" ref="E6:E11" si="0">IF(AND(C6&lt;&gt;"",D6&lt;&gt;""),D6/C6,"")</f>
        <v>0.90909090909090906</v>
      </c>
      <c r="F6" s="9"/>
      <c r="G6" s="2"/>
      <c r="H6" s="2"/>
      <c r="I6" s="2" t="str">
        <f t="shared" ref="I6:I11" si="1">IF(AND(G6&lt;&gt;"",H6&lt;&gt;""),H6/G6,"")</f>
        <v/>
      </c>
    </row>
    <row r="7" spans="1:9" ht="15" customHeight="1" x14ac:dyDescent="0.25">
      <c r="A7" s="7" t="s">
        <v>76</v>
      </c>
      <c r="B7" s="11">
        <v>530</v>
      </c>
      <c r="C7" s="11">
        <v>20</v>
      </c>
      <c r="D7" s="11">
        <v>14</v>
      </c>
      <c r="E7" s="12">
        <f t="shared" si="0"/>
        <v>0.7</v>
      </c>
      <c r="F7" s="9"/>
      <c r="G7" s="2"/>
      <c r="H7" s="2"/>
      <c r="I7" s="2" t="str">
        <f t="shared" si="1"/>
        <v/>
      </c>
    </row>
    <row r="8" spans="1:9" ht="15" customHeight="1" x14ac:dyDescent="0.25">
      <c r="A8" s="7" t="s">
        <v>77</v>
      </c>
      <c r="B8" s="11">
        <v>530</v>
      </c>
      <c r="C8" s="11">
        <v>33</v>
      </c>
      <c r="D8" s="11">
        <v>25</v>
      </c>
      <c r="E8" s="12">
        <f t="shared" si="0"/>
        <v>0.75757575757575757</v>
      </c>
      <c r="F8" s="9"/>
      <c r="G8" s="2"/>
      <c r="H8" s="2"/>
      <c r="I8" s="2" t="str">
        <f t="shared" si="1"/>
        <v/>
      </c>
    </row>
    <row r="9" spans="1:9" ht="15" customHeight="1" x14ac:dyDescent="0.25">
      <c r="A9" s="7" t="s">
        <v>78</v>
      </c>
      <c r="B9" s="11">
        <v>531</v>
      </c>
      <c r="C9" s="11">
        <v>22</v>
      </c>
      <c r="D9" s="11">
        <v>14</v>
      </c>
      <c r="E9" s="12">
        <f t="shared" si="0"/>
        <v>0.63636363636363635</v>
      </c>
      <c r="F9" s="9"/>
      <c r="G9" s="2"/>
      <c r="H9" s="2"/>
      <c r="I9" s="2" t="str">
        <f t="shared" si="1"/>
        <v/>
      </c>
    </row>
    <row r="10" spans="1:9" ht="15" customHeight="1" x14ac:dyDescent="0.25">
      <c r="A10" s="7" t="s">
        <v>79</v>
      </c>
      <c r="B10" s="11">
        <v>531</v>
      </c>
      <c r="C10" s="11">
        <v>22</v>
      </c>
      <c r="D10" s="11">
        <v>14</v>
      </c>
      <c r="E10" s="12">
        <f t="shared" si="0"/>
        <v>0.63636363636363635</v>
      </c>
      <c r="F10" s="9"/>
      <c r="G10" s="2"/>
      <c r="H10" s="2"/>
      <c r="I10" s="2" t="str">
        <f t="shared" si="1"/>
        <v/>
      </c>
    </row>
    <row r="11" spans="1:9" ht="15" customHeight="1" x14ac:dyDescent="0.25">
      <c r="A11" s="7" t="s">
        <v>80</v>
      </c>
      <c r="B11" s="11">
        <v>531</v>
      </c>
      <c r="C11" s="11">
        <v>22</v>
      </c>
      <c r="D11" s="11">
        <v>14</v>
      </c>
      <c r="E11" s="12">
        <f t="shared" si="0"/>
        <v>0.63636363636363635</v>
      </c>
      <c r="F11" s="9"/>
      <c r="G11" s="2"/>
      <c r="H11" s="2"/>
      <c r="I11" s="2" t="str">
        <f t="shared" si="1"/>
        <v/>
      </c>
    </row>
    <row r="12" spans="1:9" x14ac:dyDescent="0.25">
      <c r="A12" s="10" t="s">
        <v>81</v>
      </c>
      <c r="B12" s="9"/>
      <c r="C12" s="9"/>
      <c r="D12" s="9"/>
      <c r="E12" s="9"/>
      <c r="F12" s="9"/>
      <c r="G12" s="9"/>
      <c r="H12" s="9"/>
      <c r="I12" s="9"/>
    </row>
    <row r="13" spans="1:9" ht="15" customHeight="1" x14ac:dyDescent="0.25">
      <c r="A13" s="7" t="s">
        <v>82</v>
      </c>
      <c r="B13" s="11">
        <v>601</v>
      </c>
      <c r="C13" s="11">
        <v>73</v>
      </c>
      <c r="D13" s="11">
        <v>53</v>
      </c>
      <c r="E13" s="12">
        <f>IF(AND(C13&lt;&gt;"",D13&lt;&gt;""),D13/C13,"")</f>
        <v>0.72602739726027399</v>
      </c>
      <c r="F13" s="9"/>
      <c r="G13" s="2"/>
      <c r="H13" s="2"/>
      <c r="I13" s="2" t="str">
        <f>IF(AND(G13&lt;&gt;"",H13&lt;&gt;""),H13/G13,"")</f>
        <v/>
      </c>
    </row>
    <row r="14" spans="1:9" ht="15" customHeight="1" x14ac:dyDescent="0.25">
      <c r="A14" s="7" t="s">
        <v>83</v>
      </c>
      <c r="B14" s="11">
        <v>602</v>
      </c>
      <c r="C14" s="11">
        <v>57</v>
      </c>
      <c r="D14" s="11">
        <v>46</v>
      </c>
      <c r="E14" s="12">
        <f>IF(AND(C14&lt;&gt;"",D14&lt;&gt;""),D14/C14,"")</f>
        <v>0.80701754385964908</v>
      </c>
      <c r="F14" s="9"/>
      <c r="G14" s="2"/>
      <c r="H14" s="2"/>
      <c r="I14" s="2" t="str">
        <f>IF(AND(G14&lt;&gt;"",H14&lt;&gt;""),H14/G14,"")</f>
        <v/>
      </c>
    </row>
    <row r="15" spans="1:9" ht="15" customHeight="1" x14ac:dyDescent="0.25">
      <c r="A15" s="7" t="s">
        <v>84</v>
      </c>
      <c r="B15" s="11">
        <v>606</v>
      </c>
      <c r="C15" s="11">
        <v>56</v>
      </c>
      <c r="D15" s="11">
        <v>46</v>
      </c>
      <c r="E15" s="12">
        <f>IF(AND(C15&lt;&gt;"",D15&lt;&gt;""),D15/C15,"")</f>
        <v>0.8214285714285714</v>
      </c>
      <c r="F15" s="9"/>
      <c r="G15" s="2"/>
      <c r="H15" s="2"/>
      <c r="I15" s="2" t="str">
        <f>IF(AND(G15&lt;&gt;"",H15&lt;&gt;""),H15/G15,"")</f>
        <v/>
      </c>
    </row>
    <row r="16" spans="1:9" ht="15" customHeight="1" x14ac:dyDescent="0.25">
      <c r="A16" s="7" t="s">
        <v>85</v>
      </c>
      <c r="B16" s="11">
        <v>607</v>
      </c>
      <c r="C16" s="11">
        <v>45</v>
      </c>
      <c r="D16" s="11">
        <v>38</v>
      </c>
      <c r="E16" s="12">
        <f>IF(AND(C16&lt;&gt;"",D16&lt;&gt;""),D16/C16,"")</f>
        <v>0.84444444444444444</v>
      </c>
      <c r="F16" s="9"/>
      <c r="G16" s="2"/>
      <c r="H16" s="2"/>
      <c r="I16" s="2" t="str">
        <f>IF(AND(G16&lt;&gt;"",H16&lt;&gt;""),H16/G16,"")</f>
        <v/>
      </c>
    </row>
    <row r="17" spans="1:9" x14ac:dyDescent="0.25">
      <c r="A17" s="10" t="s">
        <v>86</v>
      </c>
      <c r="B17" s="9"/>
      <c r="C17" s="9"/>
      <c r="D17" s="9"/>
      <c r="E17" s="9"/>
      <c r="F17" s="9"/>
      <c r="G17" s="9"/>
      <c r="H17" s="9"/>
      <c r="I17" s="9"/>
    </row>
    <row r="18" spans="1:9" x14ac:dyDescent="0.25">
      <c r="A18" s="7" t="s">
        <v>87</v>
      </c>
      <c r="B18" s="2"/>
      <c r="C18" s="2"/>
      <c r="D18" s="2"/>
      <c r="E18" s="2" t="str">
        <f>IF(AND(C18&lt;&gt;"",D18&lt;&gt;""),D18/C18,"")</f>
        <v/>
      </c>
      <c r="F18" s="9"/>
      <c r="G18" s="2"/>
      <c r="H18" s="2"/>
      <c r="I18" s="2" t="str">
        <f>IF(AND(G18&lt;&gt;"",H18&lt;&gt;""),H18/G18,"")</f>
        <v/>
      </c>
    </row>
    <row r="19" spans="1:9" x14ac:dyDescent="0.25">
      <c r="A19" s="7" t="s">
        <v>88</v>
      </c>
      <c r="B19" s="2"/>
      <c r="C19" s="2"/>
      <c r="D19" s="2"/>
      <c r="E19" s="2" t="str">
        <f>IF(AND(C19&lt;&gt;"",D19&lt;&gt;""),D19/C19,"")</f>
        <v/>
      </c>
      <c r="F19" s="9"/>
      <c r="G19" s="2"/>
      <c r="H19" s="2"/>
      <c r="I19" s="2" t="str">
        <f>IF(AND(G19&lt;&gt;"",H19&lt;&gt;""),H19/G19,"")</f>
        <v/>
      </c>
    </row>
    <row r="20" spans="1:9" x14ac:dyDescent="0.25">
      <c r="A20" s="10" t="s">
        <v>89</v>
      </c>
      <c r="B20" s="9"/>
      <c r="C20" s="9"/>
      <c r="D20" s="9"/>
      <c r="E20" s="9"/>
      <c r="F20" s="9"/>
      <c r="G20" s="9"/>
      <c r="H20" s="9"/>
      <c r="I20" s="9"/>
    </row>
    <row r="21" spans="1:9" x14ac:dyDescent="0.25">
      <c r="A21" s="7" t="s">
        <v>90</v>
      </c>
      <c r="B21" s="2"/>
      <c r="C21" s="2"/>
      <c r="D21" s="2"/>
      <c r="E21" s="2" t="str">
        <f>IF(AND(C21&lt;&gt;"",D21&lt;&gt;""),D21/C21,"")</f>
        <v/>
      </c>
      <c r="F21" s="9"/>
      <c r="G21" s="2"/>
      <c r="H21" s="2"/>
      <c r="I21" s="2" t="str">
        <f>IF(AND(G21&lt;&gt;"",H21&lt;&gt;""),H21/G21,"")</f>
        <v/>
      </c>
    </row>
    <row r="22" spans="1:9" x14ac:dyDescent="0.25">
      <c r="A22" s="7" t="s">
        <v>91</v>
      </c>
      <c r="B22" s="2"/>
      <c r="C22" s="2"/>
      <c r="D22" s="2"/>
      <c r="E22" s="2" t="str">
        <f>IF(AND(C22&lt;&gt;"",D22&lt;&gt;""),D22/C22,"")</f>
        <v/>
      </c>
      <c r="F22" s="9"/>
      <c r="G22" s="2"/>
      <c r="H22" s="2"/>
      <c r="I22" s="2" t="str">
        <f>IF(AND(G22&lt;&gt;"",H22&lt;&gt;""),H22/G22,"")</f>
        <v/>
      </c>
    </row>
    <row r="23" spans="1:9" x14ac:dyDescent="0.25">
      <c r="A23" s="7" t="s">
        <v>92</v>
      </c>
      <c r="B23" s="2"/>
      <c r="C23" s="2"/>
      <c r="D23" s="2"/>
      <c r="E23" s="2" t="str">
        <f>IF(AND(C23&lt;&gt;"",D23&lt;&gt;""),D23/C23,"")</f>
        <v/>
      </c>
      <c r="F23" s="9"/>
      <c r="G23" s="2"/>
      <c r="H23" s="2"/>
      <c r="I23" s="2" t="str">
        <f>IF(AND(G23&lt;&gt;"",H23&lt;&gt;""),H23/G23,"")</f>
        <v/>
      </c>
    </row>
    <row r="24" spans="1:9" x14ac:dyDescent="0.25">
      <c r="A24" s="10" t="s">
        <v>93</v>
      </c>
      <c r="B24" s="9"/>
      <c r="C24" s="9"/>
      <c r="D24" s="9"/>
      <c r="E24" s="9"/>
      <c r="F24" s="9"/>
      <c r="G24" s="9"/>
      <c r="H24" s="9"/>
      <c r="I24" s="9"/>
    </row>
    <row r="25" spans="1:9" x14ac:dyDescent="0.25">
      <c r="A25" s="7" t="s">
        <v>94</v>
      </c>
      <c r="B25" s="2"/>
      <c r="C25" s="2"/>
      <c r="D25" s="2"/>
      <c r="E25" s="2" t="str">
        <f>IF(AND(C25&lt;&gt;"",D25&lt;&gt;""),D25/C25,"")</f>
        <v/>
      </c>
      <c r="F25" s="9"/>
      <c r="G25" s="2"/>
      <c r="H25" s="2"/>
      <c r="I25" s="2" t="str">
        <f>IF(AND(G25&lt;&gt;"",H25&lt;&gt;""),H25/G25,"")</f>
        <v/>
      </c>
    </row>
    <row r="26" spans="1:9" x14ac:dyDescent="0.25">
      <c r="A26" s="7" t="s">
        <v>95</v>
      </c>
      <c r="B26" s="2"/>
      <c r="C26" s="2"/>
      <c r="D26" s="2"/>
      <c r="E26" s="2" t="str">
        <f>IF(AND(C26&lt;&gt;"",D26&lt;&gt;""),D26/C26,"")</f>
        <v/>
      </c>
      <c r="F26" s="9"/>
      <c r="G26" s="2"/>
      <c r="H26" s="2"/>
      <c r="I26" s="2" t="str">
        <f>IF(AND(G26&lt;&gt;"",H26&lt;&gt;""),H26/G26,"")</f>
        <v/>
      </c>
    </row>
    <row r="27" spans="1:9" x14ac:dyDescent="0.25">
      <c r="A27" s="7" t="s">
        <v>96</v>
      </c>
      <c r="B27" s="2"/>
      <c r="C27" s="2"/>
      <c r="D27" s="2"/>
      <c r="E27" s="2" t="str">
        <f>IF(AND(C27&lt;&gt;"",D27&lt;&gt;""),D27/C27,"")</f>
        <v/>
      </c>
      <c r="F27" s="9"/>
      <c r="G27" s="2"/>
      <c r="H27" s="2"/>
      <c r="I27" s="2" t="str">
        <f>IF(AND(G27&lt;&gt;"",H27&lt;&gt;""),H27/G27,"")</f>
        <v/>
      </c>
    </row>
    <row r="28" spans="1:9" x14ac:dyDescent="0.25">
      <c r="A28" s="8" t="s">
        <v>97</v>
      </c>
      <c r="B28" s="8"/>
      <c r="C28" s="8">
        <f>SUM(C5:C27)</f>
        <v>361</v>
      </c>
      <c r="D28" s="8">
        <f>SUM(D5:D27)</f>
        <v>274</v>
      </c>
      <c r="E28" s="8">
        <f>IF(C28&gt;0, D28/C28,"")</f>
        <v>0.75900277008310246</v>
      </c>
      <c r="F28" s="8"/>
      <c r="G28" s="8">
        <f>SUM(G5:G27)</f>
        <v>0</v>
      </c>
      <c r="H28" s="8">
        <f>SUM(H5:H27)</f>
        <v>0</v>
      </c>
      <c r="I28" s="8" t="str">
        <f>IF(G28&gt;0, H28/G28,"")</f>
        <v/>
      </c>
    </row>
    <row r="30" spans="1:9" x14ac:dyDescent="0.25">
      <c r="A30" s="5" t="s">
        <v>98</v>
      </c>
      <c r="B30" s="5"/>
      <c r="C30" s="5">
        <f>C28+G28</f>
        <v>361</v>
      </c>
      <c r="D30" s="5">
        <f>D28+H28</f>
        <v>274</v>
      </c>
      <c r="E30" s="5">
        <f>IF(C30&gt;0, D30/C30,"")</f>
        <v>0.75900277008310246</v>
      </c>
      <c r="F30" s="5"/>
      <c r="G30" s="5"/>
      <c r="H30" s="5"/>
      <c r="I30" s="5"/>
    </row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</sheetData>
  <mergeCells count="3">
    <mergeCell ref="G3:I3"/>
    <mergeCell ref="A1:I1"/>
    <mergeCell ref="A3:E3"/>
  </mergeCells>
  <phoneticPr fontId="8" type="noConversion"/>
  <conditionalFormatting sqref="E6:E11">
    <cfRule type="cellIs" dxfId="182" priority="4" operator="greaterThanOrEqual">
      <formula>0.9</formula>
    </cfRule>
    <cfRule type="cellIs" dxfId="181" priority="5" operator="between">
      <formula>0.8</formula>
      <formula>0.9</formula>
    </cfRule>
    <cfRule type="cellIs" dxfId="180" priority="6" operator="lessThan">
      <formula>0.8</formula>
    </cfRule>
  </conditionalFormatting>
  <conditionalFormatting sqref="E13:E16">
    <cfRule type="cellIs" dxfId="179" priority="1" operator="greaterThanOrEqual">
      <formula>0.9</formula>
    </cfRule>
    <cfRule type="cellIs" dxfId="178" priority="2" operator="between">
      <formula>0.8</formula>
      <formula>0.9</formula>
    </cfRule>
    <cfRule type="cellIs" dxfId="177" priority="3" operator="lessThan">
      <formula>0.8</formula>
    </cfRule>
  </conditionalFormatting>
  <conditionalFormatting sqref="E18:E19">
    <cfRule type="cellIs" dxfId="176" priority="37" operator="greaterThanOrEqual">
      <formula>0.9</formula>
    </cfRule>
    <cfRule type="cellIs" dxfId="175" priority="38" operator="between">
      <formula>0.8</formula>
      <formula>0.9</formula>
    </cfRule>
    <cfRule type="cellIs" dxfId="174" priority="39" operator="lessThan">
      <formula>0.8</formula>
    </cfRule>
  </conditionalFormatting>
  <conditionalFormatting sqref="E21:E23">
    <cfRule type="cellIs" dxfId="173" priority="43" operator="greaterThanOrEqual">
      <formula>0.9</formula>
    </cfRule>
    <cfRule type="cellIs" dxfId="172" priority="44" operator="between">
      <formula>0.8</formula>
      <formula>0.9</formula>
    </cfRule>
    <cfRule type="cellIs" dxfId="171" priority="45" operator="lessThan">
      <formula>0.8</formula>
    </cfRule>
  </conditionalFormatting>
  <conditionalFormatting sqref="E25:E28">
    <cfRule type="cellIs" dxfId="170" priority="52" operator="greaterThanOrEqual">
      <formula>0.9</formula>
    </cfRule>
    <cfRule type="cellIs" dxfId="169" priority="53" operator="between">
      <formula>0.8</formula>
      <formula>0.9</formula>
    </cfRule>
    <cfRule type="cellIs" dxfId="168" priority="54" operator="lessThan">
      <formula>0.8</formula>
    </cfRule>
  </conditionalFormatting>
  <conditionalFormatting sqref="E30">
    <cfRule type="cellIs" dxfId="167" priority="64" operator="greaterThanOrEqual">
      <formula>0.9</formula>
    </cfRule>
    <cfRule type="cellIs" dxfId="166" priority="65" operator="between">
      <formula>0.8</formula>
      <formula>0.9</formula>
    </cfRule>
    <cfRule type="cellIs" dxfId="165" priority="66" operator="lessThan">
      <formula>0.8</formula>
    </cfRule>
  </conditionalFormatting>
  <conditionalFormatting sqref="I6:I11">
    <cfRule type="cellIs" dxfId="164" priority="67" operator="greaterThanOrEqual">
      <formula>0.9</formula>
    </cfRule>
    <cfRule type="cellIs" dxfId="163" priority="68" operator="between">
      <formula>0.8</formula>
      <formula>0.9</formula>
    </cfRule>
    <cfRule type="cellIs" dxfId="162" priority="69" operator="lessThan">
      <formula>0.8</formula>
    </cfRule>
  </conditionalFormatting>
  <conditionalFormatting sqref="I13:I16">
    <cfRule type="cellIs" dxfId="161" priority="85" operator="greaterThanOrEqual">
      <formula>0.9</formula>
    </cfRule>
    <cfRule type="cellIs" dxfId="160" priority="86" operator="between">
      <formula>0.8</formula>
      <formula>0.9</formula>
    </cfRule>
    <cfRule type="cellIs" dxfId="159" priority="87" operator="lessThan">
      <formula>0.8</formula>
    </cfRule>
  </conditionalFormatting>
  <conditionalFormatting sqref="I18:I19">
    <cfRule type="cellIs" dxfId="158" priority="97" operator="greaterThanOrEqual">
      <formula>0.9</formula>
    </cfRule>
    <cfRule type="cellIs" dxfId="157" priority="98" operator="between">
      <formula>0.8</formula>
      <formula>0.9</formula>
    </cfRule>
    <cfRule type="cellIs" dxfId="156" priority="99" operator="lessThan">
      <formula>0.8</formula>
    </cfRule>
  </conditionalFormatting>
  <conditionalFormatting sqref="I21:I23">
    <cfRule type="cellIs" dxfId="155" priority="103" operator="greaterThanOrEqual">
      <formula>0.9</formula>
    </cfRule>
    <cfRule type="cellIs" dxfId="154" priority="104" operator="between">
      <formula>0.8</formula>
      <formula>0.9</formula>
    </cfRule>
    <cfRule type="cellIs" dxfId="153" priority="105" operator="lessThan">
      <formula>0.8</formula>
    </cfRule>
  </conditionalFormatting>
  <conditionalFormatting sqref="I25:I28">
    <cfRule type="cellIs" dxfId="152" priority="112" operator="greaterThanOrEqual">
      <formula>0.9</formula>
    </cfRule>
    <cfRule type="cellIs" dxfId="151" priority="113" operator="between">
      <formula>0.8</formula>
      <formula>0.9</formula>
    </cfRule>
    <cfRule type="cellIs" dxfId="150" priority="114" operator="lessThan">
      <formula>0.8</formula>
    </cfRule>
  </conditionalFormatting>
  <conditionalFormatting sqref="I30">
    <cfRule type="cellIs" dxfId="149" priority="124" operator="greaterThanOrEqual">
      <formula>0.9</formula>
    </cfRule>
    <cfRule type="cellIs" dxfId="148" priority="125" operator="between">
      <formula>0.8</formula>
      <formula>0.9</formula>
    </cfRule>
    <cfRule type="cellIs" dxfId="147" priority="126" operator="lessThan">
      <formula>0.8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73"/>
  <sheetViews>
    <sheetView topLeftCell="A115" workbookViewId="0">
      <selection activeCell="I51" sqref="I51"/>
    </sheetView>
  </sheetViews>
  <sheetFormatPr defaultRowHeight="14" x14ac:dyDescent="0.25"/>
  <cols>
    <col min="1" max="1" width="26" customWidth="1"/>
    <col min="2" max="2" width="9" customWidth="1"/>
    <col min="3" max="5" width="11" customWidth="1"/>
    <col min="6" max="6" width="3" customWidth="1"/>
    <col min="7" max="9" width="11" customWidth="1"/>
  </cols>
  <sheetData>
    <row r="1" spans="1:9" ht="30" customHeight="1" x14ac:dyDescent="0.25">
      <c r="A1" s="16" t="s">
        <v>99</v>
      </c>
      <c r="B1" s="17"/>
      <c r="C1" s="17"/>
      <c r="D1" s="17"/>
      <c r="E1" s="17"/>
      <c r="F1" s="17"/>
      <c r="G1" s="17"/>
      <c r="H1" s="17"/>
      <c r="I1" s="17"/>
    </row>
    <row r="3" spans="1:9" x14ac:dyDescent="0.25">
      <c r="A3" s="19" t="s">
        <v>69</v>
      </c>
      <c r="B3" s="14"/>
      <c r="C3" s="14"/>
      <c r="D3" s="14"/>
      <c r="E3" s="15"/>
      <c r="F3" s="9"/>
      <c r="G3" s="18" t="s">
        <v>70</v>
      </c>
      <c r="H3" s="14"/>
      <c r="I3" s="15"/>
    </row>
    <row r="4" spans="1:9" x14ac:dyDescent="0.25">
      <c r="A4" s="1" t="s">
        <v>71</v>
      </c>
      <c r="B4" s="1" t="s">
        <v>2</v>
      </c>
      <c r="C4" s="1" t="s">
        <v>3</v>
      </c>
      <c r="D4" s="1" t="s">
        <v>4</v>
      </c>
      <c r="E4" s="1" t="s">
        <v>5</v>
      </c>
      <c r="F4" s="9"/>
      <c r="G4" s="1" t="s">
        <v>72</v>
      </c>
      <c r="H4" s="1" t="s">
        <v>73</v>
      </c>
      <c r="I4" s="1" t="s">
        <v>5</v>
      </c>
    </row>
    <row r="5" spans="1:9" x14ac:dyDescent="0.25">
      <c r="A5" s="10" t="s">
        <v>74</v>
      </c>
      <c r="B5" s="9"/>
      <c r="C5" s="9"/>
      <c r="D5" s="9"/>
      <c r="E5" s="9"/>
      <c r="F5" s="9"/>
      <c r="G5" s="9"/>
      <c r="H5" s="9"/>
      <c r="I5" s="9"/>
    </row>
    <row r="6" spans="1:9" ht="15" customHeight="1" x14ac:dyDescent="0.25">
      <c r="A6" s="7" t="s">
        <v>100</v>
      </c>
      <c r="B6" s="11">
        <v>507</v>
      </c>
      <c r="C6" s="11">
        <v>1</v>
      </c>
      <c r="D6" s="11">
        <v>1</v>
      </c>
      <c r="E6" s="12">
        <f>IF(AND(C6&lt;&gt;"",D6&lt;&gt;""),D6/C6,"")</f>
        <v>1</v>
      </c>
      <c r="F6" s="9"/>
      <c r="G6" s="2"/>
      <c r="H6" s="2"/>
      <c r="I6" s="2" t="str">
        <f>IF(AND(G6&lt;&gt;"",H6&lt;&gt;""),H6/G6,"")</f>
        <v/>
      </c>
    </row>
    <row r="7" spans="1:9" ht="15" customHeight="1" x14ac:dyDescent="0.25">
      <c r="A7" s="7" t="s">
        <v>101</v>
      </c>
      <c r="B7" s="11">
        <v>507</v>
      </c>
      <c r="C7" s="11">
        <v>14</v>
      </c>
      <c r="D7" s="11">
        <v>13</v>
      </c>
      <c r="E7" s="12">
        <f>IF(AND(C7&lt;&gt;"",D7&lt;&gt;""),D7/C7,"")</f>
        <v>0.9285714285714286</v>
      </c>
      <c r="F7" s="9"/>
      <c r="G7" s="2"/>
      <c r="H7" s="2"/>
      <c r="I7" s="2" t="str">
        <f>IF(AND(G7&lt;&gt;"",H7&lt;&gt;""),H7/G7,"")</f>
        <v/>
      </c>
    </row>
    <row r="8" spans="1:9" ht="15" customHeight="1" x14ac:dyDescent="0.25">
      <c r="A8" s="7" t="s">
        <v>102</v>
      </c>
      <c r="B8" s="11">
        <v>508</v>
      </c>
      <c r="C8" s="11">
        <v>20</v>
      </c>
      <c r="D8" s="11">
        <v>12</v>
      </c>
      <c r="E8" s="12">
        <f>IF(AND(C8&lt;&gt;"",D8&lt;&gt;""),D8/C8,"")</f>
        <v>0.6</v>
      </c>
      <c r="F8" s="9"/>
      <c r="G8" s="2"/>
      <c r="H8" s="2"/>
      <c r="I8" s="2" t="str">
        <f>IF(AND(G8&lt;&gt;"",H8&lt;&gt;""),H8/G8,"")</f>
        <v/>
      </c>
    </row>
    <row r="9" spans="1:9" x14ac:dyDescent="0.25">
      <c r="A9" s="10" t="s">
        <v>103</v>
      </c>
      <c r="B9" s="9"/>
      <c r="C9" s="9"/>
      <c r="D9" s="9"/>
      <c r="E9" s="9"/>
      <c r="F9" s="9"/>
      <c r="G9" s="9"/>
      <c r="H9" s="9"/>
      <c r="I9" s="9"/>
    </row>
    <row r="10" spans="1:9" ht="15" customHeight="1" x14ac:dyDescent="0.25">
      <c r="A10" s="7" t="s">
        <v>104</v>
      </c>
      <c r="B10" s="11">
        <v>509</v>
      </c>
      <c r="C10" s="11">
        <v>34</v>
      </c>
      <c r="D10" s="11">
        <v>25</v>
      </c>
      <c r="E10" s="12">
        <f>IF(AND(C10&lt;&gt;"",D10&lt;&gt;""),D10/C10,"")</f>
        <v>0.73529411764705888</v>
      </c>
      <c r="F10" s="9"/>
      <c r="G10" s="2"/>
      <c r="H10" s="2"/>
      <c r="I10" s="2" t="str">
        <f>IF(AND(G10&lt;&gt;"",H10&lt;&gt;""),H10/G10,"")</f>
        <v/>
      </c>
    </row>
    <row r="11" spans="1:9" ht="15" customHeight="1" x14ac:dyDescent="0.25">
      <c r="A11" s="7" t="s">
        <v>105</v>
      </c>
      <c r="B11" s="11">
        <v>510</v>
      </c>
      <c r="C11" s="11">
        <v>35</v>
      </c>
      <c r="D11" s="11">
        <v>25</v>
      </c>
      <c r="E11" s="12">
        <f>IF(AND(C11&lt;&gt;"",D11&lt;&gt;""),D11/C11,"")</f>
        <v>0.7142857142857143</v>
      </c>
      <c r="F11" s="9"/>
      <c r="G11" s="2"/>
      <c r="H11" s="2"/>
      <c r="I11" s="2" t="str">
        <f>IF(AND(G11&lt;&gt;"",H11&lt;&gt;""),H11/G11,"")</f>
        <v/>
      </c>
    </row>
    <row r="12" spans="1:9" ht="15" customHeight="1" x14ac:dyDescent="0.25">
      <c r="A12" s="7" t="s">
        <v>106</v>
      </c>
      <c r="B12" s="11">
        <v>512</v>
      </c>
      <c r="C12" s="11">
        <v>45</v>
      </c>
      <c r="D12" s="11">
        <v>37</v>
      </c>
      <c r="E12" s="12">
        <f>IF(AND(C12&lt;&gt;"",D12&lt;&gt;""),D12/C12,"")</f>
        <v>0.82222222222222219</v>
      </c>
      <c r="F12" s="9"/>
      <c r="G12" s="2"/>
      <c r="H12" s="2"/>
      <c r="I12" s="2" t="str">
        <f>IF(AND(G12&lt;&gt;"",H12&lt;&gt;""),H12/G12,"")</f>
        <v/>
      </c>
    </row>
    <row r="13" spans="1:9" x14ac:dyDescent="0.25">
      <c r="A13" s="10" t="s">
        <v>107</v>
      </c>
      <c r="B13" s="9"/>
      <c r="C13" s="9"/>
      <c r="D13" s="9"/>
      <c r="E13" s="9"/>
      <c r="F13" s="9"/>
      <c r="G13" s="9"/>
      <c r="H13" s="9"/>
      <c r="I13" s="9"/>
    </row>
    <row r="14" spans="1:9" ht="15" customHeight="1" x14ac:dyDescent="0.25">
      <c r="A14" s="7" t="s">
        <v>108</v>
      </c>
      <c r="B14" s="11">
        <v>513</v>
      </c>
      <c r="C14" s="11">
        <v>11</v>
      </c>
      <c r="D14" s="11">
        <v>10</v>
      </c>
      <c r="E14" s="12">
        <f t="shared" ref="E14:E19" si="0">IF(AND(C14&lt;&gt;"",D14&lt;&gt;""),D14/C14,"")</f>
        <v>0.90909090909090906</v>
      </c>
      <c r="F14" s="9"/>
      <c r="G14" s="2"/>
      <c r="H14" s="2"/>
      <c r="I14" s="2" t="str">
        <f t="shared" ref="I14:I19" si="1">IF(AND(G14&lt;&gt;"",H14&lt;&gt;""),H14/G14,"")</f>
        <v/>
      </c>
    </row>
    <row r="15" spans="1:9" ht="15" customHeight="1" x14ac:dyDescent="0.25">
      <c r="A15" s="7" t="s">
        <v>109</v>
      </c>
      <c r="B15" s="11">
        <v>514</v>
      </c>
      <c r="C15" s="11">
        <v>37</v>
      </c>
      <c r="D15" s="11">
        <v>30</v>
      </c>
      <c r="E15" s="12">
        <f t="shared" si="0"/>
        <v>0.81081081081081086</v>
      </c>
      <c r="F15" s="9"/>
      <c r="G15" s="2"/>
      <c r="H15" s="2"/>
      <c r="I15" s="2" t="str">
        <f t="shared" si="1"/>
        <v/>
      </c>
    </row>
    <row r="16" spans="1:9" ht="15" customHeight="1" x14ac:dyDescent="0.25">
      <c r="A16" s="7" t="s">
        <v>110</v>
      </c>
      <c r="B16" s="11">
        <v>515</v>
      </c>
      <c r="C16" s="11">
        <v>15</v>
      </c>
      <c r="D16" s="11">
        <v>11</v>
      </c>
      <c r="E16" s="12">
        <f t="shared" si="0"/>
        <v>0.73333333333333328</v>
      </c>
      <c r="F16" s="9"/>
      <c r="G16" s="2"/>
      <c r="H16" s="2"/>
      <c r="I16" s="2" t="str">
        <f t="shared" si="1"/>
        <v/>
      </c>
    </row>
    <row r="17" spans="1:9" ht="15" customHeight="1" x14ac:dyDescent="0.25">
      <c r="A17" s="7" t="s">
        <v>111</v>
      </c>
      <c r="B17" s="11">
        <v>516</v>
      </c>
      <c r="C17" s="11">
        <v>12</v>
      </c>
      <c r="D17" s="11">
        <v>9</v>
      </c>
      <c r="E17" s="12">
        <f t="shared" si="0"/>
        <v>0.75</v>
      </c>
      <c r="F17" s="9"/>
      <c r="G17" s="2"/>
      <c r="H17" s="2"/>
      <c r="I17" s="2" t="str">
        <f t="shared" si="1"/>
        <v/>
      </c>
    </row>
    <row r="18" spans="1:9" ht="15" customHeight="1" x14ac:dyDescent="0.25">
      <c r="A18" s="7" t="s">
        <v>112</v>
      </c>
      <c r="B18" s="11">
        <v>516</v>
      </c>
      <c r="C18" s="11">
        <v>35</v>
      </c>
      <c r="D18" s="11">
        <v>22</v>
      </c>
      <c r="E18" s="12">
        <f t="shared" si="0"/>
        <v>0.62857142857142856</v>
      </c>
      <c r="F18" s="9"/>
      <c r="G18" s="2"/>
      <c r="H18" s="2"/>
      <c r="I18" s="2" t="str">
        <f t="shared" si="1"/>
        <v/>
      </c>
    </row>
    <row r="19" spans="1:9" ht="15" customHeight="1" x14ac:dyDescent="0.25">
      <c r="A19" s="7" t="s">
        <v>113</v>
      </c>
      <c r="B19" s="11">
        <v>517</v>
      </c>
      <c r="C19" s="11">
        <v>20</v>
      </c>
      <c r="D19" s="11">
        <v>12</v>
      </c>
      <c r="E19" s="12">
        <f t="shared" si="0"/>
        <v>0.6</v>
      </c>
      <c r="F19" s="9"/>
      <c r="G19" s="2"/>
      <c r="H19" s="2"/>
      <c r="I19" s="2" t="str">
        <f t="shared" si="1"/>
        <v/>
      </c>
    </row>
    <row r="20" spans="1:9" x14ac:dyDescent="0.25">
      <c r="A20" s="10" t="s">
        <v>114</v>
      </c>
      <c r="B20" s="9"/>
      <c r="C20" s="9"/>
      <c r="D20" s="9"/>
      <c r="E20" s="9"/>
      <c r="F20" s="9"/>
      <c r="G20" s="9"/>
      <c r="H20" s="9"/>
      <c r="I20" s="9"/>
    </row>
    <row r="21" spans="1:9" ht="15" customHeight="1" x14ac:dyDescent="0.25">
      <c r="A21" s="7" t="s">
        <v>115</v>
      </c>
      <c r="B21" s="11">
        <v>518</v>
      </c>
      <c r="C21" s="11">
        <v>16</v>
      </c>
      <c r="D21" s="11">
        <v>12</v>
      </c>
      <c r="E21" s="12">
        <f>IF(AND(C21&lt;&gt;"",D21&lt;&gt;""),D21/C21,"")</f>
        <v>0.75</v>
      </c>
      <c r="F21" s="9"/>
      <c r="G21" s="2"/>
      <c r="H21" s="2"/>
      <c r="I21" s="2" t="str">
        <f>IF(AND(G21&lt;&gt;"",H21&lt;&gt;""),H21/G21,"")</f>
        <v/>
      </c>
    </row>
    <row r="22" spans="1:9" ht="15" customHeight="1" x14ac:dyDescent="0.25">
      <c r="A22" s="7" t="s">
        <v>116</v>
      </c>
      <c r="B22" s="11">
        <v>518</v>
      </c>
      <c r="C22" s="11">
        <v>33</v>
      </c>
      <c r="D22" s="11">
        <v>25</v>
      </c>
      <c r="E22" s="12">
        <f>IF(AND(C22&lt;&gt;"",D22&lt;&gt;""),D22/C22,"")</f>
        <v>0.75757575757575757</v>
      </c>
      <c r="F22" s="9"/>
      <c r="G22" s="2"/>
      <c r="H22" s="2"/>
      <c r="I22" s="2" t="str">
        <f>IF(AND(G22&lt;&gt;"",H22&lt;&gt;""),H22/G22,"")</f>
        <v/>
      </c>
    </row>
    <row r="23" spans="1:9" ht="15" customHeight="1" x14ac:dyDescent="0.25">
      <c r="A23" s="7" t="s">
        <v>117</v>
      </c>
      <c r="B23" s="11">
        <v>519</v>
      </c>
      <c r="C23" s="11"/>
      <c r="D23" s="11"/>
      <c r="E23" s="12" t="str">
        <f>IF(AND(C23&lt;&gt;"",D23&lt;&gt;""),D23/C23,"")</f>
        <v/>
      </c>
      <c r="F23" s="9"/>
      <c r="G23" s="2"/>
      <c r="H23" s="2"/>
      <c r="I23" s="2" t="str">
        <f>IF(AND(G23&lt;&gt;"",H23&lt;&gt;""),H23/G23,"")</f>
        <v/>
      </c>
    </row>
    <row r="24" spans="1:9" ht="15" customHeight="1" x14ac:dyDescent="0.25">
      <c r="A24" s="7" t="s">
        <v>118</v>
      </c>
      <c r="B24" s="11">
        <v>520</v>
      </c>
      <c r="C24" s="11">
        <v>6</v>
      </c>
      <c r="D24" s="11">
        <v>6</v>
      </c>
      <c r="E24" s="12">
        <f>IF(AND(C24&lt;&gt;"",D24&lt;&gt;""),D24/C24,"")</f>
        <v>1</v>
      </c>
      <c r="F24" s="9"/>
      <c r="G24" s="2"/>
      <c r="H24" s="2"/>
      <c r="I24" s="2" t="str">
        <f>IF(AND(G24&lt;&gt;"",H24&lt;&gt;""),H24/G24,"")</f>
        <v/>
      </c>
    </row>
    <row r="25" spans="1:9" x14ac:dyDescent="0.25">
      <c r="A25" s="10" t="s">
        <v>119</v>
      </c>
      <c r="B25" s="9"/>
      <c r="C25" s="9"/>
      <c r="D25" s="9"/>
      <c r="E25" s="9"/>
      <c r="F25" s="9"/>
      <c r="G25" s="9"/>
      <c r="H25" s="9"/>
      <c r="I25" s="9"/>
    </row>
    <row r="26" spans="1:9" ht="15" customHeight="1" x14ac:dyDescent="0.25">
      <c r="A26" s="7" t="s">
        <v>120</v>
      </c>
      <c r="B26" s="11">
        <v>521</v>
      </c>
      <c r="C26" s="11">
        <v>24</v>
      </c>
      <c r="D26" s="11">
        <v>15</v>
      </c>
      <c r="E26" s="12">
        <f t="shared" ref="E26:E32" si="2">IF(AND(C26&lt;&gt;"",D26&lt;&gt;""),D26/C26,"")</f>
        <v>0.625</v>
      </c>
      <c r="F26" s="9"/>
      <c r="G26" s="2"/>
      <c r="H26" s="2"/>
      <c r="I26" s="2" t="str">
        <f t="shared" ref="I26:I32" si="3">IF(AND(G26&lt;&gt;"",H26&lt;&gt;""),H26/G26,"")</f>
        <v/>
      </c>
    </row>
    <row r="27" spans="1:9" ht="15" customHeight="1" x14ac:dyDescent="0.25">
      <c r="A27" s="7" t="s">
        <v>121</v>
      </c>
      <c r="B27" s="11">
        <v>521</v>
      </c>
      <c r="C27" s="11">
        <v>11</v>
      </c>
      <c r="D27" s="11">
        <v>8</v>
      </c>
      <c r="E27" s="12">
        <f t="shared" si="2"/>
        <v>0.72727272727272729</v>
      </c>
      <c r="F27" s="9"/>
      <c r="G27" s="2"/>
      <c r="H27" s="2"/>
      <c r="I27" s="2" t="str">
        <f t="shared" si="3"/>
        <v/>
      </c>
    </row>
    <row r="28" spans="1:9" ht="15" customHeight="1" x14ac:dyDescent="0.25">
      <c r="A28" s="7" t="s">
        <v>122</v>
      </c>
      <c r="B28" s="11">
        <v>522</v>
      </c>
      <c r="C28" s="11">
        <v>18</v>
      </c>
      <c r="D28" s="11">
        <v>12</v>
      </c>
      <c r="E28" s="12">
        <f t="shared" si="2"/>
        <v>0.66666666666666663</v>
      </c>
      <c r="F28" s="9"/>
      <c r="G28" s="2"/>
      <c r="H28" s="2"/>
      <c r="I28" s="2" t="str">
        <f t="shared" si="3"/>
        <v/>
      </c>
    </row>
    <row r="29" spans="1:9" ht="15" customHeight="1" x14ac:dyDescent="0.25">
      <c r="A29" s="7" t="s">
        <v>123</v>
      </c>
      <c r="B29" s="11">
        <v>523</v>
      </c>
      <c r="C29" s="11">
        <v>27</v>
      </c>
      <c r="D29" s="11">
        <v>22</v>
      </c>
      <c r="E29" s="12">
        <f t="shared" si="2"/>
        <v>0.81481481481481477</v>
      </c>
      <c r="F29" s="9"/>
      <c r="G29" s="2"/>
      <c r="H29" s="2"/>
      <c r="I29" s="2" t="str">
        <f t="shared" si="3"/>
        <v/>
      </c>
    </row>
    <row r="30" spans="1:9" ht="15" customHeight="1" x14ac:dyDescent="0.25">
      <c r="A30" s="7" t="s">
        <v>124</v>
      </c>
      <c r="B30" s="11">
        <v>524</v>
      </c>
      <c r="C30" s="11">
        <v>13</v>
      </c>
      <c r="D30" s="11">
        <v>7</v>
      </c>
      <c r="E30" s="12">
        <f t="shared" si="2"/>
        <v>0.53846153846153844</v>
      </c>
      <c r="F30" s="9"/>
      <c r="G30" s="2"/>
      <c r="H30" s="2"/>
      <c r="I30" s="2" t="str">
        <f t="shared" si="3"/>
        <v/>
      </c>
    </row>
    <row r="31" spans="1:9" ht="15" customHeight="1" x14ac:dyDescent="0.25">
      <c r="A31" s="7" t="s">
        <v>125</v>
      </c>
      <c r="B31" s="11">
        <v>525</v>
      </c>
      <c r="C31" s="11">
        <v>33</v>
      </c>
      <c r="D31" s="11">
        <v>31</v>
      </c>
      <c r="E31" s="12">
        <f t="shared" si="2"/>
        <v>0.93939393939393945</v>
      </c>
      <c r="F31" s="9"/>
      <c r="G31" s="2"/>
      <c r="H31" s="2"/>
      <c r="I31" s="2" t="str">
        <f t="shared" si="3"/>
        <v/>
      </c>
    </row>
    <row r="32" spans="1:9" ht="15" customHeight="1" x14ac:dyDescent="0.25">
      <c r="A32" s="7" t="s">
        <v>126</v>
      </c>
      <c r="B32" s="11">
        <v>525</v>
      </c>
      <c r="C32" s="11">
        <v>12</v>
      </c>
      <c r="D32" s="11">
        <v>10</v>
      </c>
      <c r="E32" s="12">
        <f t="shared" si="2"/>
        <v>0.83333333333333337</v>
      </c>
      <c r="F32" s="9"/>
      <c r="G32" s="2"/>
      <c r="H32" s="2"/>
      <c r="I32" s="2" t="str">
        <f t="shared" si="3"/>
        <v/>
      </c>
    </row>
    <row r="33" spans="1:9" x14ac:dyDescent="0.25">
      <c r="A33" s="10" t="s">
        <v>127</v>
      </c>
      <c r="B33" s="9"/>
      <c r="C33" s="9"/>
      <c r="D33" s="9"/>
      <c r="E33" s="9"/>
      <c r="F33" s="9"/>
      <c r="G33" s="9"/>
      <c r="H33" s="9"/>
      <c r="I33" s="9"/>
    </row>
    <row r="34" spans="1:9" ht="15" customHeight="1" x14ac:dyDescent="0.25">
      <c r="A34" s="7" t="s">
        <v>128</v>
      </c>
      <c r="B34" s="11">
        <v>526</v>
      </c>
      <c r="C34" s="11">
        <v>25</v>
      </c>
      <c r="D34" s="11">
        <v>20</v>
      </c>
      <c r="E34" s="12">
        <f>IF(AND(C34&lt;&gt;"",D34&lt;&gt;""),D34/C34,"")</f>
        <v>0.8</v>
      </c>
      <c r="F34" s="9"/>
      <c r="G34" s="2"/>
      <c r="H34" s="2"/>
      <c r="I34" s="2" t="str">
        <f>IF(AND(G34&lt;&gt;"",H34&lt;&gt;""),H34/G34,"")</f>
        <v/>
      </c>
    </row>
    <row r="35" spans="1:9" ht="15" customHeight="1" x14ac:dyDescent="0.25">
      <c r="A35" s="7" t="s">
        <v>129</v>
      </c>
      <c r="B35" s="11">
        <v>526</v>
      </c>
      <c r="C35" s="11">
        <v>20</v>
      </c>
      <c r="D35" s="11">
        <v>16</v>
      </c>
      <c r="E35" s="12">
        <f>IF(AND(C35&lt;&gt;"",D35&lt;&gt;""),D35/C35,"")</f>
        <v>0.8</v>
      </c>
      <c r="F35" s="9"/>
      <c r="G35" s="2"/>
      <c r="H35" s="2"/>
      <c r="I35" s="2" t="str">
        <f>IF(AND(G35&lt;&gt;"",H35&lt;&gt;""),H35/G35,"")</f>
        <v/>
      </c>
    </row>
    <row r="36" spans="1:9" x14ac:dyDescent="0.25">
      <c r="A36" s="10" t="s">
        <v>130</v>
      </c>
      <c r="B36" s="9"/>
      <c r="C36" s="9"/>
      <c r="D36" s="9"/>
      <c r="E36" s="9"/>
      <c r="F36" s="9"/>
      <c r="G36" s="9"/>
      <c r="H36" s="9"/>
      <c r="I36" s="9"/>
    </row>
    <row r="37" spans="1:9" ht="15" customHeight="1" x14ac:dyDescent="0.25">
      <c r="A37" s="7" t="s">
        <v>131</v>
      </c>
      <c r="B37" s="11">
        <v>526</v>
      </c>
      <c r="C37" s="11">
        <v>4</v>
      </c>
      <c r="D37" s="11">
        <v>4</v>
      </c>
      <c r="E37" s="12">
        <f>IF(AND(C37&lt;&gt;"",D37&lt;&gt;""),D37/C37,"")</f>
        <v>1</v>
      </c>
      <c r="F37" s="9"/>
      <c r="G37" s="2"/>
      <c r="H37" s="2"/>
      <c r="I37" s="2" t="str">
        <f>IF(AND(G37&lt;&gt;"",H37&lt;&gt;""),H37/G37,"")</f>
        <v/>
      </c>
    </row>
    <row r="38" spans="1:9" ht="15" customHeight="1" x14ac:dyDescent="0.25">
      <c r="A38" s="7" t="s">
        <v>132</v>
      </c>
      <c r="B38" s="11">
        <v>527</v>
      </c>
      <c r="C38" s="11">
        <v>17</v>
      </c>
      <c r="D38" s="11">
        <v>10</v>
      </c>
      <c r="E38" s="12">
        <f>IF(AND(C38&lt;&gt;"",D38&lt;&gt;""),D38/C38,"")</f>
        <v>0.58823529411764708</v>
      </c>
      <c r="F38" s="9"/>
      <c r="G38" s="2"/>
      <c r="H38" s="2"/>
      <c r="I38" s="2" t="str">
        <f>IF(AND(G38&lt;&gt;"",H38&lt;&gt;""),H38/G38,"")</f>
        <v/>
      </c>
    </row>
    <row r="39" spans="1:9" ht="15" customHeight="1" x14ac:dyDescent="0.25">
      <c r="A39" s="7" t="s">
        <v>133</v>
      </c>
      <c r="B39" s="11">
        <v>528</v>
      </c>
      <c r="C39" s="11">
        <v>55</v>
      </c>
      <c r="D39" s="11">
        <v>33</v>
      </c>
      <c r="E39" s="12">
        <f>IF(AND(C39&lt;&gt;"",D39&lt;&gt;""),D39/C39,"")</f>
        <v>0.6</v>
      </c>
      <c r="F39" s="9"/>
      <c r="G39" s="2"/>
      <c r="H39" s="2"/>
      <c r="I39" s="2" t="str">
        <f>IF(AND(G39&lt;&gt;"",H39&lt;&gt;""),H39/G39,"")</f>
        <v/>
      </c>
    </row>
    <row r="40" spans="1:9" x14ac:dyDescent="0.25">
      <c r="A40" s="8" t="s">
        <v>97</v>
      </c>
      <c r="B40" s="8"/>
      <c r="C40" s="8">
        <f>SUM(C5:C39)</f>
        <v>593</v>
      </c>
      <c r="D40" s="8">
        <f>SUM(D5:D39)</f>
        <v>438</v>
      </c>
      <c r="E40" s="8">
        <f>IF(C40&gt;0, D40/C40,"")</f>
        <v>0.73861720067453629</v>
      </c>
      <c r="F40" s="8"/>
      <c r="G40" s="8">
        <f>SUM(G5:G39)</f>
        <v>0</v>
      </c>
      <c r="H40" s="8">
        <f>SUM(H5:H39)</f>
        <v>0</v>
      </c>
      <c r="I40" s="8" t="str">
        <f>IF(G40&gt;0, H40/G40,"")</f>
        <v/>
      </c>
    </row>
    <row r="42" spans="1:9" x14ac:dyDescent="0.25">
      <c r="A42" s="5" t="s">
        <v>98</v>
      </c>
      <c r="B42" s="5"/>
      <c r="C42" s="5">
        <f>C40+G40</f>
        <v>593</v>
      </c>
      <c r="D42" s="5">
        <f>D40+H40</f>
        <v>438</v>
      </c>
      <c r="E42" s="5">
        <f>IF(C42&gt;0, D42/C42,"")</f>
        <v>0.73861720067453629</v>
      </c>
      <c r="F42" s="5"/>
      <c r="G42" s="5"/>
      <c r="H42" s="5"/>
      <c r="I42" s="5"/>
    </row>
    <row r="45" spans="1:9" hidden="1" x14ac:dyDescent="0.25"/>
    <row r="46" spans="1:9" hidden="1" x14ac:dyDescent="0.25"/>
    <row r="47" spans="1:9" hidden="1" x14ac:dyDescent="0.25"/>
    <row r="48" spans="1:9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</sheetData>
  <mergeCells count="3">
    <mergeCell ref="G3:I3"/>
    <mergeCell ref="A1:I1"/>
    <mergeCell ref="A3:E3"/>
  </mergeCells>
  <phoneticPr fontId="8" type="noConversion"/>
  <conditionalFormatting sqref="E6:E8">
    <cfRule type="cellIs" dxfId="146" priority="22" operator="greaterThanOrEqual">
      <formula>0.9</formula>
    </cfRule>
    <cfRule type="cellIs" dxfId="145" priority="23" operator="between">
      <formula>0.8</formula>
      <formula>0.9</formula>
    </cfRule>
    <cfRule type="cellIs" dxfId="144" priority="24" operator="lessThan">
      <formula>0.8</formula>
    </cfRule>
  </conditionalFormatting>
  <conditionalFormatting sqref="E10:E12">
    <cfRule type="cellIs" dxfId="143" priority="19" operator="greaterThanOrEqual">
      <formula>0.9</formula>
    </cfRule>
    <cfRule type="cellIs" dxfId="142" priority="20" operator="between">
      <formula>0.8</formula>
      <formula>0.9</formula>
    </cfRule>
    <cfRule type="cellIs" dxfId="141" priority="21" operator="lessThan">
      <formula>0.8</formula>
    </cfRule>
  </conditionalFormatting>
  <conditionalFormatting sqref="E14:E19">
    <cfRule type="cellIs" dxfId="140" priority="16" operator="greaterThanOrEqual">
      <formula>0.9</formula>
    </cfRule>
    <cfRule type="cellIs" dxfId="139" priority="17" operator="between">
      <formula>0.8</formula>
      <formula>0.9</formula>
    </cfRule>
    <cfRule type="cellIs" dxfId="138" priority="18" operator="lessThan">
      <formula>0.8</formula>
    </cfRule>
  </conditionalFormatting>
  <conditionalFormatting sqref="E21:E24">
    <cfRule type="cellIs" dxfId="137" priority="10" operator="greaterThanOrEqual">
      <formula>0.9</formula>
    </cfRule>
    <cfRule type="cellIs" dxfId="136" priority="11" operator="between">
      <formula>0.8</formula>
      <formula>0.9</formula>
    </cfRule>
    <cfRule type="cellIs" dxfId="135" priority="12" operator="lessThan">
      <formula>0.8</formula>
    </cfRule>
  </conditionalFormatting>
  <conditionalFormatting sqref="E26:E32">
    <cfRule type="cellIs" dxfId="134" priority="7" operator="greaterThanOrEqual">
      <formula>0.9</formula>
    </cfRule>
    <cfRule type="cellIs" dxfId="133" priority="8" operator="between">
      <formula>0.8</formula>
      <formula>0.9</formula>
    </cfRule>
    <cfRule type="cellIs" dxfId="132" priority="9" operator="lessThan">
      <formula>0.8</formula>
    </cfRule>
  </conditionalFormatting>
  <conditionalFormatting sqref="E34:E35">
    <cfRule type="cellIs" dxfId="131" priority="4" operator="greaterThanOrEqual">
      <formula>0.9</formula>
    </cfRule>
    <cfRule type="cellIs" dxfId="130" priority="5" operator="between">
      <formula>0.8</formula>
      <formula>0.9</formula>
    </cfRule>
    <cfRule type="cellIs" dxfId="129" priority="6" operator="lessThan">
      <formula>0.8</formula>
    </cfRule>
  </conditionalFormatting>
  <conditionalFormatting sqref="E37:E39">
    <cfRule type="cellIs" dxfId="128" priority="2" operator="between">
      <formula>0.8</formula>
      <formula>0.9</formula>
    </cfRule>
    <cfRule type="cellIs" dxfId="127" priority="3" operator="lessThan">
      <formula>0.8</formula>
    </cfRule>
    <cfRule type="cellIs" dxfId="126" priority="1" operator="greaterThanOrEqual">
      <formula>0.9</formula>
    </cfRule>
  </conditionalFormatting>
  <conditionalFormatting sqref="E40">
    <cfRule type="cellIs" dxfId="125" priority="100" operator="greaterThanOrEqual">
      <formula>0.9</formula>
    </cfRule>
    <cfRule type="cellIs" dxfId="124" priority="101" operator="between">
      <formula>0.8</formula>
      <formula>0.9</formula>
    </cfRule>
    <cfRule type="cellIs" dxfId="123" priority="102" operator="lessThan">
      <formula>0.8</formula>
    </cfRule>
  </conditionalFormatting>
  <conditionalFormatting sqref="E42">
    <cfRule type="cellIs" dxfId="122" priority="112" operator="greaterThanOrEqual">
      <formula>0.9</formula>
    </cfRule>
    <cfRule type="cellIs" dxfId="121" priority="113" operator="between">
      <formula>0.8</formula>
      <formula>0.9</formula>
    </cfRule>
    <cfRule type="cellIs" dxfId="120" priority="114" operator="lessThan">
      <formula>0.8</formula>
    </cfRule>
  </conditionalFormatting>
  <conditionalFormatting sqref="I6:I8">
    <cfRule type="cellIs" dxfId="119" priority="115" operator="greaterThanOrEqual">
      <formula>0.9</formula>
    </cfRule>
    <cfRule type="cellIs" dxfId="118" priority="116" operator="between">
      <formula>0.8</formula>
      <formula>0.9</formula>
    </cfRule>
    <cfRule type="cellIs" dxfId="117" priority="117" operator="lessThan">
      <formula>0.8</formula>
    </cfRule>
  </conditionalFormatting>
  <conditionalFormatting sqref="I10:I12">
    <cfRule type="cellIs" dxfId="116" priority="124" operator="greaterThanOrEqual">
      <formula>0.9</formula>
    </cfRule>
    <cfRule type="cellIs" dxfId="115" priority="125" operator="between">
      <formula>0.8</formula>
      <formula>0.9</formula>
    </cfRule>
    <cfRule type="cellIs" dxfId="114" priority="126" operator="lessThan">
      <formula>0.8</formula>
    </cfRule>
  </conditionalFormatting>
  <conditionalFormatting sqref="I14:I19">
    <cfRule type="cellIs" dxfId="113" priority="133" operator="greaterThanOrEqual">
      <formula>0.9</formula>
    </cfRule>
    <cfRule type="cellIs" dxfId="112" priority="134" operator="between">
      <formula>0.8</formula>
      <formula>0.9</formula>
    </cfRule>
    <cfRule type="cellIs" dxfId="111" priority="135" operator="lessThan">
      <formula>0.8</formula>
    </cfRule>
  </conditionalFormatting>
  <conditionalFormatting sqref="I21:I24">
    <cfRule type="cellIs" dxfId="110" priority="151" operator="greaterThanOrEqual">
      <formula>0.9</formula>
    </cfRule>
    <cfRule type="cellIs" dxfId="109" priority="152" operator="between">
      <formula>0.8</formula>
      <formula>0.9</formula>
    </cfRule>
    <cfRule type="cellIs" dxfId="108" priority="153" operator="lessThan">
      <formula>0.8</formula>
    </cfRule>
  </conditionalFormatting>
  <conditionalFormatting sqref="I26:I32">
    <cfRule type="cellIs" dxfId="107" priority="163" operator="greaterThanOrEqual">
      <formula>0.9</formula>
    </cfRule>
    <cfRule type="cellIs" dxfId="106" priority="164" operator="between">
      <formula>0.8</formula>
      <formula>0.9</formula>
    </cfRule>
    <cfRule type="cellIs" dxfId="105" priority="165" operator="lessThan">
      <formula>0.8</formula>
    </cfRule>
  </conditionalFormatting>
  <conditionalFormatting sqref="I34:I35">
    <cfRule type="cellIs" dxfId="104" priority="184" operator="greaterThanOrEqual">
      <formula>0.9</formula>
    </cfRule>
    <cfRule type="cellIs" dxfId="103" priority="185" operator="between">
      <formula>0.8</formula>
      <formula>0.9</formula>
    </cfRule>
    <cfRule type="cellIs" dxfId="102" priority="186" operator="lessThan">
      <formula>0.8</formula>
    </cfRule>
  </conditionalFormatting>
  <conditionalFormatting sqref="I37:I40">
    <cfRule type="cellIs" dxfId="101" priority="190" operator="greaterThanOrEqual">
      <formula>0.9</formula>
    </cfRule>
    <cfRule type="cellIs" dxfId="100" priority="191" operator="between">
      <formula>0.8</formula>
      <formula>0.9</formula>
    </cfRule>
    <cfRule type="cellIs" dxfId="99" priority="192" operator="lessThan">
      <formula>0.8</formula>
    </cfRule>
  </conditionalFormatting>
  <conditionalFormatting sqref="I42">
    <cfRule type="cellIs" dxfId="98" priority="202" operator="greaterThanOrEqual">
      <formula>0.9</formula>
    </cfRule>
    <cfRule type="cellIs" dxfId="97" priority="203" operator="between">
      <formula>0.8</formula>
      <formula>0.9</formula>
    </cfRule>
    <cfRule type="cellIs" dxfId="96" priority="204" operator="lessThan">
      <formula>0.8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I82"/>
  <sheetViews>
    <sheetView workbookViewId="0">
      <selection sqref="A1:I1"/>
    </sheetView>
  </sheetViews>
  <sheetFormatPr defaultRowHeight="14" x14ac:dyDescent="0.25"/>
  <cols>
    <col min="1" max="1" width="26" customWidth="1"/>
    <col min="2" max="2" width="9" customWidth="1"/>
    <col min="3" max="5" width="11" customWidth="1"/>
    <col min="6" max="6" width="3" customWidth="1"/>
    <col min="7" max="9" width="11" customWidth="1"/>
  </cols>
  <sheetData>
    <row r="1" spans="1:9" ht="30" customHeight="1" x14ac:dyDescent="0.25">
      <c r="A1" s="16" t="s">
        <v>134</v>
      </c>
      <c r="B1" s="17"/>
      <c r="C1" s="17"/>
      <c r="D1" s="17"/>
      <c r="E1" s="17"/>
      <c r="F1" s="17"/>
      <c r="G1" s="17"/>
      <c r="H1" s="17"/>
      <c r="I1" s="17"/>
    </row>
    <row r="3" spans="1:9" x14ac:dyDescent="0.25">
      <c r="A3" s="19" t="s">
        <v>69</v>
      </c>
      <c r="B3" s="14"/>
      <c r="C3" s="14"/>
      <c r="D3" s="14"/>
      <c r="E3" s="15"/>
      <c r="F3" s="9"/>
      <c r="G3" s="18" t="s">
        <v>70</v>
      </c>
      <c r="H3" s="14"/>
      <c r="I3" s="15"/>
    </row>
    <row r="4" spans="1:9" x14ac:dyDescent="0.25">
      <c r="A4" s="1" t="s">
        <v>71</v>
      </c>
      <c r="B4" s="1" t="s">
        <v>2</v>
      </c>
      <c r="C4" s="1" t="s">
        <v>3</v>
      </c>
      <c r="D4" s="1" t="s">
        <v>4</v>
      </c>
      <c r="E4" s="1" t="s">
        <v>5</v>
      </c>
      <c r="F4" s="9"/>
      <c r="G4" s="1" t="s">
        <v>72</v>
      </c>
      <c r="H4" s="1" t="s">
        <v>73</v>
      </c>
      <c r="I4" s="1" t="s">
        <v>5</v>
      </c>
    </row>
    <row r="5" spans="1:9" x14ac:dyDescent="0.25">
      <c r="A5" s="10" t="s">
        <v>135</v>
      </c>
      <c r="B5" s="9"/>
      <c r="C5" s="9"/>
      <c r="D5" s="9"/>
      <c r="E5" s="9"/>
      <c r="F5" s="9"/>
      <c r="G5" s="9"/>
      <c r="H5" s="9"/>
      <c r="I5" s="9"/>
    </row>
    <row r="6" spans="1:9" x14ac:dyDescent="0.25">
      <c r="A6" s="7" t="s">
        <v>136</v>
      </c>
      <c r="B6" s="2"/>
      <c r="C6" s="2"/>
      <c r="D6" s="2"/>
      <c r="E6" s="2" t="str">
        <f>IF(AND(C6&lt;&gt;"",D6&lt;&gt;""),D6/C6,"")</f>
        <v/>
      </c>
      <c r="F6" s="9"/>
      <c r="G6" s="2"/>
      <c r="H6" s="2"/>
      <c r="I6" s="2" t="str">
        <f>IF(AND(G6&lt;&gt;"",H6&lt;&gt;""),H6/G6,"")</f>
        <v/>
      </c>
    </row>
    <row r="7" spans="1:9" x14ac:dyDescent="0.25">
      <c r="A7" s="7" t="s">
        <v>137</v>
      </c>
      <c r="B7" s="2"/>
      <c r="C7" s="2"/>
      <c r="D7" s="2"/>
      <c r="E7" s="2" t="str">
        <f>IF(AND(C7&lt;&gt;"",D7&lt;&gt;""),D7/C7,"")</f>
        <v/>
      </c>
      <c r="F7" s="9"/>
      <c r="G7" s="2"/>
      <c r="H7" s="2"/>
      <c r="I7" s="2" t="str">
        <f>IF(AND(G7&lt;&gt;"",H7&lt;&gt;""),H7/G7,"")</f>
        <v/>
      </c>
    </row>
    <row r="8" spans="1:9" x14ac:dyDescent="0.25">
      <c r="A8" s="10" t="s">
        <v>138</v>
      </c>
      <c r="B8" s="9"/>
      <c r="C8" s="9"/>
      <c r="D8" s="9"/>
      <c r="E8" s="9"/>
      <c r="F8" s="9"/>
      <c r="G8" s="9"/>
      <c r="H8" s="9"/>
      <c r="I8" s="9"/>
    </row>
    <row r="9" spans="1:9" x14ac:dyDescent="0.25">
      <c r="A9" s="7" t="s">
        <v>139</v>
      </c>
      <c r="B9" s="2"/>
      <c r="C9" s="2"/>
      <c r="D9" s="2"/>
      <c r="E9" s="2" t="str">
        <f>IF(AND(C9&lt;&gt;"",D9&lt;&gt;""),D9/C9,"")</f>
        <v/>
      </c>
      <c r="F9" s="9"/>
      <c r="G9" s="2"/>
      <c r="H9" s="2"/>
      <c r="I9" s="2" t="str">
        <f>IF(AND(G9&lt;&gt;"",H9&lt;&gt;""),H9/G9,"")</f>
        <v/>
      </c>
    </row>
    <row r="10" spans="1:9" x14ac:dyDescent="0.25">
      <c r="A10" s="7" t="s">
        <v>140</v>
      </c>
      <c r="B10" s="2"/>
      <c r="C10" s="2"/>
      <c r="D10" s="2"/>
      <c r="E10" s="2" t="str">
        <f>IF(AND(C10&lt;&gt;"",D10&lt;&gt;""),D10/C10,"")</f>
        <v/>
      </c>
      <c r="F10" s="9"/>
      <c r="G10" s="2"/>
      <c r="H10" s="2"/>
      <c r="I10" s="2" t="str">
        <f>IF(AND(G10&lt;&gt;"",H10&lt;&gt;""),H10/G10,"")</f>
        <v/>
      </c>
    </row>
    <row r="11" spans="1:9" x14ac:dyDescent="0.25">
      <c r="A11" s="7" t="s">
        <v>141</v>
      </c>
      <c r="B11" s="2"/>
      <c r="C11" s="2"/>
      <c r="D11" s="2"/>
      <c r="E11" s="2" t="str">
        <f>IF(AND(C11&lt;&gt;"",D11&lt;&gt;""),D11/C11,"")</f>
        <v/>
      </c>
      <c r="F11" s="9"/>
      <c r="G11" s="2"/>
      <c r="H11" s="2"/>
      <c r="I11" s="2" t="str">
        <f>IF(AND(G11&lt;&gt;"",H11&lt;&gt;""),H11/G11,"")</f>
        <v/>
      </c>
    </row>
    <row r="12" spans="1:9" x14ac:dyDescent="0.25">
      <c r="A12" s="10" t="s">
        <v>142</v>
      </c>
      <c r="B12" s="9"/>
      <c r="C12" s="9"/>
      <c r="D12" s="9"/>
      <c r="E12" s="9"/>
      <c r="F12" s="9"/>
      <c r="G12" s="9"/>
      <c r="H12" s="9"/>
      <c r="I12" s="9"/>
    </row>
    <row r="13" spans="1:9" x14ac:dyDescent="0.25">
      <c r="A13" s="7" t="s">
        <v>143</v>
      </c>
      <c r="B13" s="2"/>
      <c r="C13" s="2"/>
      <c r="D13" s="2"/>
      <c r="E13" s="2" t="str">
        <f>IF(AND(C13&lt;&gt;"",D13&lt;&gt;""),D13/C13,"")</f>
        <v/>
      </c>
      <c r="F13" s="9"/>
      <c r="G13" s="2"/>
      <c r="H13" s="2"/>
      <c r="I13" s="2" t="str">
        <f>IF(AND(G13&lt;&gt;"",H13&lt;&gt;""),H13/G13,"")</f>
        <v/>
      </c>
    </row>
    <row r="14" spans="1:9" x14ac:dyDescent="0.25">
      <c r="A14" s="7" t="s">
        <v>144</v>
      </c>
      <c r="B14" s="2"/>
      <c r="C14" s="2"/>
      <c r="D14" s="2"/>
      <c r="E14" s="2" t="str">
        <f>IF(AND(C14&lt;&gt;"",D14&lt;&gt;""),D14/C14,"")</f>
        <v/>
      </c>
      <c r="F14" s="9"/>
      <c r="G14" s="2"/>
      <c r="H14" s="2"/>
      <c r="I14" s="2" t="str">
        <f>IF(AND(G14&lt;&gt;"",H14&lt;&gt;""),H14/G14,"")</f>
        <v/>
      </c>
    </row>
    <row r="15" spans="1:9" x14ac:dyDescent="0.25">
      <c r="A15" s="7" t="s">
        <v>145</v>
      </c>
      <c r="B15" s="2"/>
      <c r="C15" s="2"/>
      <c r="D15" s="2"/>
      <c r="E15" s="2" t="str">
        <f>IF(AND(C15&lt;&gt;"",D15&lt;&gt;""),D15/C15,"")</f>
        <v/>
      </c>
      <c r="F15" s="9"/>
      <c r="G15" s="2"/>
      <c r="H15" s="2"/>
      <c r="I15" s="2" t="str">
        <f>IF(AND(G15&lt;&gt;"",H15&lt;&gt;""),H15/G15,"")</f>
        <v/>
      </c>
    </row>
    <row r="16" spans="1:9" x14ac:dyDescent="0.25">
      <c r="A16" s="7" t="s">
        <v>146</v>
      </c>
      <c r="B16" s="2"/>
      <c r="C16" s="2"/>
      <c r="D16" s="2"/>
      <c r="E16" s="2" t="str">
        <f>IF(AND(C16&lt;&gt;"",D16&lt;&gt;""),D16/C16,"")</f>
        <v/>
      </c>
      <c r="F16" s="9"/>
      <c r="G16" s="2"/>
      <c r="H16" s="2"/>
      <c r="I16" s="2" t="str">
        <f>IF(AND(G16&lt;&gt;"",H16&lt;&gt;""),H16/G16,"")</f>
        <v/>
      </c>
    </row>
    <row r="17" spans="1:9" x14ac:dyDescent="0.25">
      <c r="A17" s="10" t="s">
        <v>147</v>
      </c>
      <c r="B17" s="9"/>
      <c r="C17" s="9"/>
      <c r="D17" s="9"/>
      <c r="E17" s="9"/>
      <c r="F17" s="9"/>
      <c r="G17" s="9"/>
      <c r="H17" s="9"/>
      <c r="I17" s="9"/>
    </row>
    <row r="18" spans="1:9" x14ac:dyDescent="0.25">
      <c r="A18" s="7" t="s">
        <v>148</v>
      </c>
      <c r="B18" s="2"/>
      <c r="C18" s="2"/>
      <c r="D18" s="2"/>
      <c r="E18" s="2" t="str">
        <f>IF(AND(C18&lt;&gt;"",D18&lt;&gt;""),D18/C18,"")</f>
        <v/>
      </c>
      <c r="F18" s="9"/>
      <c r="G18" s="2"/>
      <c r="H18" s="2"/>
      <c r="I18" s="2" t="str">
        <f>IF(AND(G18&lt;&gt;"",H18&lt;&gt;""),H18/G18,"")</f>
        <v/>
      </c>
    </row>
    <row r="19" spans="1:9" x14ac:dyDescent="0.25">
      <c r="A19" s="7" t="s">
        <v>149</v>
      </c>
      <c r="B19" s="2"/>
      <c r="C19" s="2"/>
      <c r="D19" s="2"/>
      <c r="E19" s="2" t="str">
        <f>IF(AND(C19&lt;&gt;"",D19&lt;&gt;""),D19/C19,"")</f>
        <v/>
      </c>
      <c r="F19" s="9"/>
      <c r="G19" s="2"/>
      <c r="H19" s="2"/>
      <c r="I19" s="2" t="str">
        <f>IF(AND(G19&lt;&gt;"",H19&lt;&gt;""),H19/G19,"")</f>
        <v/>
      </c>
    </row>
    <row r="20" spans="1:9" x14ac:dyDescent="0.25">
      <c r="A20" s="10" t="s">
        <v>150</v>
      </c>
      <c r="B20" s="9"/>
      <c r="C20" s="9"/>
      <c r="D20" s="9"/>
      <c r="E20" s="9"/>
      <c r="F20" s="9"/>
      <c r="G20" s="9"/>
      <c r="H20" s="9"/>
      <c r="I20" s="9"/>
    </row>
    <row r="21" spans="1:9" x14ac:dyDescent="0.25">
      <c r="A21" s="7" t="s">
        <v>151</v>
      </c>
      <c r="B21" s="2"/>
      <c r="C21" s="2"/>
      <c r="D21" s="2"/>
      <c r="E21" s="2" t="str">
        <f>IF(AND(C21&lt;&gt;"",D21&lt;&gt;""),D21/C21,"")</f>
        <v/>
      </c>
      <c r="F21" s="9"/>
      <c r="G21" s="2"/>
      <c r="H21" s="2"/>
      <c r="I21" s="2" t="str">
        <f>IF(AND(G21&lt;&gt;"",H21&lt;&gt;""),H21/G21,"")</f>
        <v/>
      </c>
    </row>
    <row r="22" spans="1:9" x14ac:dyDescent="0.25">
      <c r="A22" s="7" t="s">
        <v>152</v>
      </c>
      <c r="B22" s="2"/>
      <c r="C22" s="2"/>
      <c r="D22" s="2"/>
      <c r="E22" s="2" t="str">
        <f>IF(AND(C22&lt;&gt;"",D22&lt;&gt;""),D22/C22,"")</f>
        <v/>
      </c>
      <c r="F22" s="9"/>
      <c r="G22" s="2"/>
      <c r="H22" s="2"/>
      <c r="I22" s="2" t="str">
        <f>IF(AND(G22&lt;&gt;"",H22&lt;&gt;""),H22/G22,"")</f>
        <v/>
      </c>
    </row>
    <row r="23" spans="1:9" x14ac:dyDescent="0.25">
      <c r="A23" s="7" t="s">
        <v>153</v>
      </c>
      <c r="B23" s="2"/>
      <c r="C23" s="2"/>
      <c r="D23" s="2"/>
      <c r="E23" s="2" t="str">
        <f>IF(AND(C23&lt;&gt;"",D23&lt;&gt;""),D23/C23,"")</f>
        <v/>
      </c>
      <c r="F23" s="9"/>
      <c r="G23" s="2"/>
      <c r="H23" s="2"/>
      <c r="I23" s="2" t="str">
        <f>IF(AND(G23&lt;&gt;"",H23&lt;&gt;""),H23/G23,"")</f>
        <v/>
      </c>
    </row>
    <row r="24" spans="1:9" x14ac:dyDescent="0.25">
      <c r="A24" s="7" t="s">
        <v>154</v>
      </c>
      <c r="B24" s="2"/>
      <c r="C24" s="2"/>
      <c r="D24" s="2"/>
      <c r="E24" s="2" t="str">
        <f>IF(AND(C24&lt;&gt;"",D24&lt;&gt;""),D24/C24,"")</f>
        <v/>
      </c>
      <c r="F24" s="9"/>
      <c r="G24" s="2"/>
      <c r="H24" s="2"/>
      <c r="I24" s="2" t="str">
        <f>IF(AND(G24&lt;&gt;"",H24&lt;&gt;""),H24/G24,"")</f>
        <v/>
      </c>
    </row>
    <row r="25" spans="1:9" x14ac:dyDescent="0.25">
      <c r="A25" s="7" t="s">
        <v>155</v>
      </c>
      <c r="B25" s="2"/>
      <c r="C25" s="2"/>
      <c r="D25" s="2"/>
      <c r="E25" s="2" t="str">
        <f>IF(AND(C25&lt;&gt;"",D25&lt;&gt;""),D25/C25,"")</f>
        <v/>
      </c>
      <c r="F25" s="9"/>
      <c r="G25" s="2"/>
      <c r="H25" s="2"/>
      <c r="I25" s="2" t="str">
        <f>IF(AND(G25&lt;&gt;"",H25&lt;&gt;""),H25/G25,"")</f>
        <v/>
      </c>
    </row>
    <row r="26" spans="1:9" x14ac:dyDescent="0.25">
      <c r="A26" s="10" t="s">
        <v>156</v>
      </c>
      <c r="B26" s="9"/>
      <c r="C26" s="9"/>
      <c r="D26" s="9"/>
      <c r="E26" s="9"/>
      <c r="F26" s="9"/>
      <c r="G26" s="9"/>
      <c r="H26" s="9"/>
      <c r="I26" s="9"/>
    </row>
    <row r="27" spans="1:9" x14ac:dyDescent="0.25">
      <c r="A27" s="7" t="s">
        <v>157</v>
      </c>
      <c r="B27" s="2"/>
      <c r="C27" s="2"/>
      <c r="D27" s="2"/>
      <c r="E27" s="2" t="str">
        <f>IF(AND(C27&lt;&gt;"",D27&lt;&gt;""),D27/C27,"")</f>
        <v/>
      </c>
      <c r="F27" s="9"/>
      <c r="G27" s="2"/>
      <c r="H27" s="2"/>
      <c r="I27" s="2" t="str">
        <f>IF(AND(G27&lt;&gt;"",H27&lt;&gt;""),H27/G27,"")</f>
        <v/>
      </c>
    </row>
    <row r="28" spans="1:9" x14ac:dyDescent="0.25">
      <c r="A28" s="7" t="s">
        <v>158</v>
      </c>
      <c r="B28" s="2"/>
      <c r="C28" s="2"/>
      <c r="D28" s="2"/>
      <c r="E28" s="2" t="str">
        <f>IF(AND(C28&lt;&gt;"",D28&lt;&gt;""),D28/C28,"")</f>
        <v/>
      </c>
      <c r="F28" s="9"/>
      <c r="G28" s="2"/>
      <c r="H28" s="2"/>
      <c r="I28" s="2" t="str">
        <f>IF(AND(G28&lt;&gt;"",H28&lt;&gt;""),H28/G28,"")</f>
        <v/>
      </c>
    </row>
    <row r="29" spans="1:9" x14ac:dyDescent="0.25">
      <c r="A29" s="7" t="s">
        <v>159</v>
      </c>
      <c r="B29" s="2"/>
      <c r="C29" s="2"/>
      <c r="D29" s="2"/>
      <c r="E29" s="2" t="str">
        <f>IF(AND(C29&lt;&gt;"",D29&lt;&gt;""),D29/C29,"")</f>
        <v/>
      </c>
      <c r="F29" s="9"/>
      <c r="G29" s="2"/>
      <c r="H29" s="2"/>
      <c r="I29" s="2" t="str">
        <f>IF(AND(G29&lt;&gt;"",H29&lt;&gt;""),H29/G29,"")</f>
        <v/>
      </c>
    </row>
    <row r="30" spans="1:9" x14ac:dyDescent="0.25">
      <c r="A30" s="7" t="s">
        <v>160</v>
      </c>
      <c r="B30" s="2"/>
      <c r="C30" s="2"/>
      <c r="D30" s="2"/>
      <c r="E30" s="2" t="str">
        <f>IF(AND(C30&lt;&gt;"",D30&lt;&gt;""),D30/C30,"")</f>
        <v/>
      </c>
      <c r="F30" s="9"/>
      <c r="G30" s="2"/>
      <c r="H30" s="2"/>
      <c r="I30" s="2" t="str">
        <f>IF(AND(G30&lt;&gt;"",H30&lt;&gt;""),H30/G30,"")</f>
        <v/>
      </c>
    </row>
    <row r="31" spans="1:9" x14ac:dyDescent="0.25">
      <c r="A31" s="10" t="s">
        <v>161</v>
      </c>
      <c r="B31" s="9"/>
      <c r="C31" s="9"/>
      <c r="D31" s="9"/>
      <c r="E31" s="9"/>
      <c r="F31" s="9"/>
      <c r="G31" s="9"/>
      <c r="H31" s="9"/>
      <c r="I31" s="9"/>
    </row>
    <row r="32" spans="1:9" x14ac:dyDescent="0.25">
      <c r="A32" s="7" t="s">
        <v>162</v>
      </c>
      <c r="B32" s="2"/>
      <c r="C32" s="2"/>
      <c r="D32" s="2"/>
      <c r="E32" s="2" t="str">
        <f>IF(AND(C32&lt;&gt;"",D32&lt;&gt;""),D32/C32,"")</f>
        <v/>
      </c>
      <c r="F32" s="9"/>
      <c r="G32" s="2"/>
      <c r="H32" s="2"/>
      <c r="I32" s="2" t="str">
        <f>IF(AND(G32&lt;&gt;"",H32&lt;&gt;""),H32/G32,"")</f>
        <v/>
      </c>
    </row>
    <row r="33" spans="1:9" x14ac:dyDescent="0.25">
      <c r="A33" s="7" t="s">
        <v>163</v>
      </c>
      <c r="B33" s="2"/>
      <c r="C33" s="2"/>
      <c r="D33" s="2"/>
      <c r="E33" s="2" t="str">
        <f>IF(AND(C33&lt;&gt;"",D33&lt;&gt;""),D33/C33,"")</f>
        <v/>
      </c>
      <c r="F33" s="9"/>
      <c r="G33" s="2"/>
      <c r="H33" s="2"/>
      <c r="I33" s="2" t="str">
        <f>IF(AND(G33&lt;&gt;"",H33&lt;&gt;""),H33/G33,"")</f>
        <v/>
      </c>
    </row>
    <row r="34" spans="1:9" x14ac:dyDescent="0.25">
      <c r="A34" s="7" t="s">
        <v>164</v>
      </c>
      <c r="B34" s="2"/>
      <c r="C34" s="2"/>
      <c r="D34" s="2"/>
      <c r="E34" s="2" t="str">
        <f>IF(AND(C34&lt;&gt;"",D34&lt;&gt;""),D34/C34,"")</f>
        <v/>
      </c>
      <c r="F34" s="9"/>
      <c r="G34" s="2"/>
      <c r="H34" s="2"/>
      <c r="I34" s="2" t="str">
        <f>IF(AND(G34&lt;&gt;"",H34&lt;&gt;""),H34/G34,"")</f>
        <v/>
      </c>
    </row>
    <row r="35" spans="1:9" x14ac:dyDescent="0.25">
      <c r="A35" s="7" t="s">
        <v>165</v>
      </c>
      <c r="B35" s="2"/>
      <c r="C35" s="2"/>
      <c r="D35" s="2"/>
      <c r="E35" s="2" t="str">
        <f>IF(AND(C35&lt;&gt;"",D35&lt;&gt;""),D35/C35,"")</f>
        <v/>
      </c>
      <c r="F35" s="9"/>
      <c r="G35" s="2"/>
      <c r="H35" s="2"/>
      <c r="I35" s="2" t="str">
        <f>IF(AND(G35&lt;&gt;"",H35&lt;&gt;""),H35/G35,"")</f>
        <v/>
      </c>
    </row>
    <row r="36" spans="1:9" x14ac:dyDescent="0.25">
      <c r="A36" s="7" t="s">
        <v>166</v>
      </c>
      <c r="B36" s="2"/>
      <c r="C36" s="2"/>
      <c r="D36" s="2"/>
      <c r="E36" s="2" t="str">
        <f>IF(AND(C36&lt;&gt;"",D36&lt;&gt;""),D36/C36,"")</f>
        <v/>
      </c>
      <c r="F36" s="9"/>
      <c r="G36" s="2"/>
      <c r="H36" s="2"/>
      <c r="I36" s="2" t="str">
        <f>IF(AND(G36&lt;&gt;"",H36&lt;&gt;""),H36/G36,"")</f>
        <v/>
      </c>
    </row>
    <row r="37" spans="1:9" x14ac:dyDescent="0.25">
      <c r="A37" s="10" t="s">
        <v>167</v>
      </c>
      <c r="B37" s="9"/>
      <c r="C37" s="9"/>
      <c r="D37" s="9"/>
      <c r="E37" s="9"/>
      <c r="F37" s="9"/>
      <c r="G37" s="9"/>
      <c r="H37" s="9"/>
      <c r="I37" s="9"/>
    </row>
    <row r="38" spans="1:9" x14ac:dyDescent="0.25">
      <c r="A38" s="7" t="s">
        <v>168</v>
      </c>
      <c r="B38" s="2"/>
      <c r="C38" s="2"/>
      <c r="D38" s="2"/>
      <c r="E38" s="2" t="str">
        <f t="shared" ref="E38:E44" si="0">IF(AND(C38&lt;&gt;"",D38&lt;&gt;""),D38/C38,"")</f>
        <v/>
      </c>
      <c r="F38" s="9"/>
      <c r="G38" s="2"/>
      <c r="H38" s="2"/>
      <c r="I38" s="2" t="str">
        <f t="shared" ref="I38:I44" si="1">IF(AND(G38&lt;&gt;"",H38&lt;&gt;""),H38/G38,"")</f>
        <v/>
      </c>
    </row>
    <row r="39" spans="1:9" x14ac:dyDescent="0.25">
      <c r="A39" s="7" t="s">
        <v>169</v>
      </c>
      <c r="B39" s="2"/>
      <c r="C39" s="2"/>
      <c r="D39" s="2"/>
      <c r="E39" s="2" t="str">
        <f t="shared" si="0"/>
        <v/>
      </c>
      <c r="F39" s="9"/>
      <c r="G39" s="2"/>
      <c r="H39" s="2"/>
      <c r="I39" s="2" t="str">
        <f t="shared" si="1"/>
        <v/>
      </c>
    </row>
    <row r="40" spans="1:9" x14ac:dyDescent="0.25">
      <c r="A40" s="7" t="s">
        <v>170</v>
      </c>
      <c r="B40" s="2"/>
      <c r="C40" s="2"/>
      <c r="D40" s="2"/>
      <c r="E40" s="2" t="str">
        <f t="shared" si="0"/>
        <v/>
      </c>
      <c r="F40" s="9"/>
      <c r="G40" s="2"/>
      <c r="H40" s="2"/>
      <c r="I40" s="2" t="str">
        <f t="shared" si="1"/>
        <v/>
      </c>
    </row>
    <row r="41" spans="1:9" x14ac:dyDescent="0.25">
      <c r="A41" s="7" t="s">
        <v>171</v>
      </c>
      <c r="B41" s="2"/>
      <c r="C41" s="2"/>
      <c r="D41" s="2"/>
      <c r="E41" s="2" t="str">
        <f t="shared" si="0"/>
        <v/>
      </c>
      <c r="F41" s="9"/>
      <c r="G41" s="2"/>
      <c r="H41" s="2"/>
      <c r="I41" s="2" t="str">
        <f t="shared" si="1"/>
        <v/>
      </c>
    </row>
    <row r="42" spans="1:9" x14ac:dyDescent="0.25">
      <c r="A42" s="7" t="s">
        <v>172</v>
      </c>
      <c r="B42" s="2"/>
      <c r="C42" s="2"/>
      <c r="D42" s="2"/>
      <c r="E42" s="2" t="str">
        <f t="shared" si="0"/>
        <v/>
      </c>
      <c r="F42" s="9"/>
      <c r="G42" s="2"/>
      <c r="H42" s="2"/>
      <c r="I42" s="2" t="str">
        <f t="shared" si="1"/>
        <v/>
      </c>
    </row>
    <row r="43" spans="1:9" x14ac:dyDescent="0.25">
      <c r="A43" s="7" t="s">
        <v>173</v>
      </c>
      <c r="B43" s="2"/>
      <c r="C43" s="2"/>
      <c r="D43" s="2"/>
      <c r="E43" s="2" t="str">
        <f t="shared" si="0"/>
        <v/>
      </c>
      <c r="F43" s="9"/>
      <c r="G43" s="2"/>
      <c r="H43" s="2"/>
      <c r="I43" s="2" t="str">
        <f t="shared" si="1"/>
        <v/>
      </c>
    </row>
    <row r="44" spans="1:9" x14ac:dyDescent="0.25">
      <c r="A44" s="7" t="s">
        <v>174</v>
      </c>
      <c r="B44" s="2"/>
      <c r="C44" s="2"/>
      <c r="D44" s="2"/>
      <c r="E44" s="2" t="str">
        <f t="shared" si="0"/>
        <v/>
      </c>
      <c r="F44" s="9"/>
      <c r="G44" s="2"/>
      <c r="H44" s="2"/>
      <c r="I44" s="2" t="str">
        <f t="shared" si="1"/>
        <v/>
      </c>
    </row>
    <row r="45" spans="1:9" x14ac:dyDescent="0.25">
      <c r="A45" s="8" t="s">
        <v>97</v>
      </c>
      <c r="B45" s="8"/>
      <c r="C45" s="8">
        <f>SUM(C5:C44)</f>
        <v>0</v>
      </c>
      <c r="D45" s="8">
        <f>SUM(D5:D44)</f>
        <v>0</v>
      </c>
      <c r="E45" s="8" t="str">
        <f>IF(C45&gt;0, D45/C45,"")</f>
        <v/>
      </c>
      <c r="F45" s="8"/>
      <c r="G45" s="8">
        <f>SUM(G5:G44)</f>
        <v>0</v>
      </c>
      <c r="H45" s="8">
        <f>SUM(H5:H44)</f>
        <v>0</v>
      </c>
      <c r="I45" s="8" t="str">
        <f>IF(G45&gt;0, H45/G45,"")</f>
        <v/>
      </c>
    </row>
    <row r="47" spans="1:9" x14ac:dyDescent="0.25">
      <c r="A47" s="5" t="s">
        <v>98</v>
      </c>
      <c r="B47" s="5"/>
      <c r="C47" s="5">
        <f>C45+G45</f>
        <v>0</v>
      </c>
      <c r="D47" s="5">
        <f>D45+H45</f>
        <v>0</v>
      </c>
      <c r="E47" s="5" t="str">
        <f>IF(C47&gt;0, D47/C47,"")</f>
        <v/>
      </c>
      <c r="F47" s="5"/>
      <c r="G47" s="5"/>
      <c r="H47" s="5"/>
      <c r="I47" s="5"/>
    </row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</sheetData>
  <mergeCells count="3">
    <mergeCell ref="G3:I3"/>
    <mergeCell ref="A1:I1"/>
    <mergeCell ref="A3:E3"/>
  </mergeCells>
  <phoneticPr fontId="8" type="noConversion"/>
  <conditionalFormatting sqref="E6:E7">
    <cfRule type="cellIs" dxfId="95" priority="1" operator="greaterThanOrEqual">
      <formula>0.9</formula>
    </cfRule>
    <cfRule type="cellIs" dxfId="94" priority="2" operator="between">
      <formula>0.8</formula>
      <formula>0.9</formula>
    </cfRule>
    <cfRule type="cellIs" dxfId="93" priority="3" operator="lessThan">
      <formula>0.8</formula>
    </cfRule>
  </conditionalFormatting>
  <conditionalFormatting sqref="E9:E11">
    <cfRule type="cellIs" dxfId="92" priority="7" operator="greaterThanOrEqual">
      <formula>0.9</formula>
    </cfRule>
    <cfRule type="cellIs" dxfId="91" priority="8" operator="between">
      <formula>0.8</formula>
      <formula>0.9</formula>
    </cfRule>
    <cfRule type="cellIs" dxfId="90" priority="9" operator="lessThan">
      <formula>0.8</formula>
    </cfRule>
  </conditionalFormatting>
  <conditionalFormatting sqref="E13:E16">
    <cfRule type="cellIs" dxfId="89" priority="16" operator="greaterThanOrEqual">
      <formula>0.9</formula>
    </cfRule>
    <cfRule type="cellIs" dxfId="88" priority="17" operator="between">
      <formula>0.8</formula>
      <formula>0.9</formula>
    </cfRule>
    <cfRule type="cellIs" dxfId="87" priority="18" operator="lessThan">
      <formula>0.8</formula>
    </cfRule>
  </conditionalFormatting>
  <conditionalFormatting sqref="E18:E19">
    <cfRule type="cellIs" dxfId="86" priority="28" operator="greaterThanOrEqual">
      <formula>0.9</formula>
    </cfRule>
    <cfRule type="cellIs" dxfId="85" priority="29" operator="between">
      <formula>0.8</formula>
      <formula>0.9</formula>
    </cfRule>
    <cfRule type="cellIs" dxfId="84" priority="30" operator="lessThan">
      <formula>0.8</formula>
    </cfRule>
  </conditionalFormatting>
  <conditionalFormatting sqref="E21:E25">
    <cfRule type="cellIs" dxfId="83" priority="34" operator="greaterThanOrEqual">
      <formula>0.9</formula>
    </cfRule>
    <cfRule type="cellIs" dxfId="82" priority="35" operator="between">
      <formula>0.8</formula>
      <formula>0.9</formula>
    </cfRule>
    <cfRule type="cellIs" dxfId="81" priority="36" operator="lessThan">
      <formula>0.8</formula>
    </cfRule>
  </conditionalFormatting>
  <conditionalFormatting sqref="E27:E30">
    <cfRule type="cellIs" dxfId="80" priority="49" operator="greaterThanOrEqual">
      <formula>0.9</formula>
    </cfRule>
    <cfRule type="cellIs" dxfId="79" priority="50" operator="between">
      <formula>0.8</formula>
      <formula>0.9</formula>
    </cfRule>
    <cfRule type="cellIs" dxfId="78" priority="51" operator="lessThan">
      <formula>0.8</formula>
    </cfRule>
  </conditionalFormatting>
  <conditionalFormatting sqref="E32:E36">
    <cfRule type="cellIs" dxfId="77" priority="61" operator="greaterThanOrEqual">
      <formula>0.9</formula>
    </cfRule>
    <cfRule type="cellIs" dxfId="76" priority="62" operator="between">
      <formula>0.8</formula>
      <formula>0.9</formula>
    </cfRule>
    <cfRule type="cellIs" dxfId="75" priority="63" operator="lessThan">
      <formula>0.8</formula>
    </cfRule>
  </conditionalFormatting>
  <conditionalFormatting sqref="E38:E45">
    <cfRule type="cellIs" dxfId="74" priority="76" operator="greaterThanOrEqual">
      <formula>0.9</formula>
    </cfRule>
    <cfRule type="cellIs" dxfId="73" priority="77" operator="between">
      <formula>0.8</formula>
      <formula>0.9</formula>
    </cfRule>
    <cfRule type="cellIs" dxfId="72" priority="78" operator="lessThan">
      <formula>0.8</formula>
    </cfRule>
  </conditionalFormatting>
  <conditionalFormatting sqref="E47">
    <cfRule type="cellIs" dxfId="71" priority="100" operator="greaterThanOrEqual">
      <formula>0.9</formula>
    </cfRule>
    <cfRule type="cellIs" dxfId="70" priority="101" operator="between">
      <formula>0.8</formula>
      <formula>0.9</formula>
    </cfRule>
    <cfRule type="cellIs" dxfId="69" priority="102" operator="lessThan">
      <formula>0.8</formula>
    </cfRule>
  </conditionalFormatting>
  <conditionalFormatting sqref="I6:I7">
    <cfRule type="cellIs" dxfId="68" priority="103" operator="greaterThanOrEqual">
      <formula>0.9</formula>
    </cfRule>
    <cfRule type="cellIs" dxfId="67" priority="104" operator="between">
      <formula>0.8</formula>
      <formula>0.9</formula>
    </cfRule>
    <cfRule type="cellIs" dxfId="66" priority="105" operator="lessThan">
      <formula>0.8</formula>
    </cfRule>
  </conditionalFormatting>
  <conditionalFormatting sqref="I9:I11">
    <cfRule type="cellIs" dxfId="65" priority="109" operator="greaterThanOrEqual">
      <formula>0.9</formula>
    </cfRule>
    <cfRule type="cellIs" dxfId="64" priority="110" operator="between">
      <formula>0.8</formula>
      <formula>0.9</formula>
    </cfRule>
    <cfRule type="cellIs" dxfId="63" priority="111" operator="lessThan">
      <formula>0.8</formula>
    </cfRule>
  </conditionalFormatting>
  <conditionalFormatting sqref="I13:I16">
    <cfRule type="cellIs" dxfId="62" priority="118" operator="greaterThanOrEqual">
      <formula>0.9</formula>
    </cfRule>
    <cfRule type="cellIs" dxfId="61" priority="119" operator="between">
      <formula>0.8</formula>
      <formula>0.9</formula>
    </cfRule>
    <cfRule type="cellIs" dxfId="60" priority="120" operator="lessThan">
      <formula>0.8</formula>
    </cfRule>
  </conditionalFormatting>
  <conditionalFormatting sqref="I18:I19">
    <cfRule type="cellIs" dxfId="59" priority="130" operator="greaterThanOrEqual">
      <formula>0.9</formula>
    </cfRule>
    <cfRule type="cellIs" dxfId="58" priority="131" operator="between">
      <formula>0.8</formula>
      <formula>0.9</formula>
    </cfRule>
    <cfRule type="cellIs" dxfId="57" priority="132" operator="lessThan">
      <formula>0.8</formula>
    </cfRule>
  </conditionalFormatting>
  <conditionalFormatting sqref="I21:I25">
    <cfRule type="cellIs" dxfId="56" priority="136" operator="greaterThanOrEqual">
      <formula>0.9</formula>
    </cfRule>
    <cfRule type="cellIs" dxfId="55" priority="137" operator="between">
      <formula>0.8</formula>
      <formula>0.9</formula>
    </cfRule>
    <cfRule type="cellIs" dxfId="54" priority="138" operator="lessThan">
      <formula>0.8</formula>
    </cfRule>
  </conditionalFormatting>
  <conditionalFormatting sqref="I27:I30">
    <cfRule type="cellIs" dxfId="53" priority="151" operator="greaterThanOrEqual">
      <formula>0.9</formula>
    </cfRule>
    <cfRule type="cellIs" dxfId="52" priority="152" operator="between">
      <formula>0.8</formula>
      <formula>0.9</formula>
    </cfRule>
    <cfRule type="cellIs" dxfId="51" priority="153" operator="lessThan">
      <formula>0.8</formula>
    </cfRule>
  </conditionalFormatting>
  <conditionalFormatting sqref="I32:I36">
    <cfRule type="cellIs" dxfId="50" priority="163" operator="greaterThanOrEqual">
      <formula>0.9</formula>
    </cfRule>
    <cfRule type="cellIs" dxfId="49" priority="164" operator="between">
      <formula>0.8</formula>
      <formula>0.9</formula>
    </cfRule>
    <cfRule type="cellIs" dxfId="48" priority="165" operator="lessThan">
      <formula>0.8</formula>
    </cfRule>
  </conditionalFormatting>
  <conditionalFormatting sqref="I38:I45">
    <cfRule type="cellIs" dxfId="47" priority="178" operator="greaterThanOrEqual">
      <formula>0.9</formula>
    </cfRule>
    <cfRule type="cellIs" dxfId="46" priority="179" operator="between">
      <formula>0.8</formula>
      <formula>0.9</formula>
    </cfRule>
    <cfRule type="cellIs" dxfId="45" priority="180" operator="lessThan">
      <formula>0.8</formula>
    </cfRule>
  </conditionalFormatting>
  <conditionalFormatting sqref="I47">
    <cfRule type="cellIs" dxfId="44" priority="202" operator="greaterThanOrEqual">
      <formula>0.9</formula>
    </cfRule>
    <cfRule type="cellIs" dxfId="43" priority="203" operator="between">
      <formula>0.8</formula>
      <formula>0.9</formula>
    </cfRule>
    <cfRule type="cellIs" dxfId="42" priority="204" operator="lessThan">
      <formula>0.8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I72"/>
  <sheetViews>
    <sheetView workbookViewId="0">
      <selection sqref="A1:I1"/>
    </sheetView>
  </sheetViews>
  <sheetFormatPr defaultRowHeight="14" x14ac:dyDescent="0.25"/>
  <cols>
    <col min="1" max="1" width="26" customWidth="1"/>
    <col min="2" max="2" width="9" customWidth="1"/>
    <col min="3" max="5" width="11" customWidth="1"/>
    <col min="6" max="6" width="3" customWidth="1"/>
    <col min="7" max="9" width="11" customWidth="1"/>
  </cols>
  <sheetData>
    <row r="1" spans="1:9" ht="30" customHeight="1" x14ac:dyDescent="0.25">
      <c r="A1" s="16" t="s">
        <v>175</v>
      </c>
      <c r="B1" s="17"/>
      <c r="C1" s="17"/>
      <c r="D1" s="17"/>
      <c r="E1" s="17"/>
      <c r="F1" s="17"/>
      <c r="G1" s="17"/>
      <c r="H1" s="17"/>
      <c r="I1" s="17"/>
    </row>
    <row r="3" spans="1:9" x14ac:dyDescent="0.25">
      <c r="A3" s="19" t="s">
        <v>69</v>
      </c>
      <c r="B3" s="14"/>
      <c r="C3" s="14"/>
      <c r="D3" s="14"/>
      <c r="E3" s="15"/>
      <c r="F3" s="9"/>
      <c r="G3" s="18" t="s">
        <v>70</v>
      </c>
      <c r="H3" s="14"/>
      <c r="I3" s="15"/>
    </row>
    <row r="4" spans="1:9" x14ac:dyDescent="0.25">
      <c r="A4" s="1" t="s">
        <v>71</v>
      </c>
      <c r="B4" s="1" t="s">
        <v>2</v>
      </c>
      <c r="C4" s="1" t="s">
        <v>3</v>
      </c>
      <c r="D4" s="1" t="s">
        <v>4</v>
      </c>
      <c r="E4" s="1" t="s">
        <v>5</v>
      </c>
      <c r="F4" s="9"/>
      <c r="G4" s="1" t="s">
        <v>72</v>
      </c>
      <c r="H4" s="1" t="s">
        <v>73</v>
      </c>
      <c r="I4" s="1" t="s">
        <v>5</v>
      </c>
    </row>
    <row r="5" spans="1:9" x14ac:dyDescent="0.25">
      <c r="A5" s="10" t="s">
        <v>176</v>
      </c>
      <c r="B5" s="9"/>
      <c r="C5" s="9"/>
      <c r="D5" s="9"/>
      <c r="E5" s="9"/>
      <c r="F5" s="9"/>
      <c r="G5" s="9"/>
      <c r="H5" s="9"/>
      <c r="I5" s="9"/>
    </row>
    <row r="6" spans="1:9" x14ac:dyDescent="0.25">
      <c r="A6" s="7" t="s">
        <v>177</v>
      </c>
      <c r="B6" s="2"/>
      <c r="C6" s="2"/>
      <c r="D6" s="2"/>
      <c r="E6" s="2" t="str">
        <f>IF(AND(C6&lt;&gt;"",D6&lt;&gt;""),D6/C6,"")</f>
        <v/>
      </c>
      <c r="F6" s="9"/>
      <c r="G6" s="2"/>
      <c r="H6" s="2"/>
      <c r="I6" s="2" t="str">
        <f>IF(AND(G6&lt;&gt;"",H6&lt;&gt;""),H6/G6,"")</f>
        <v/>
      </c>
    </row>
    <row r="7" spans="1:9" x14ac:dyDescent="0.25">
      <c r="A7" s="7" t="s">
        <v>178</v>
      </c>
      <c r="B7" s="2"/>
      <c r="C7" s="2"/>
      <c r="D7" s="2"/>
      <c r="E7" s="2" t="str">
        <f>IF(AND(C7&lt;&gt;"",D7&lt;&gt;""),D7/C7,"")</f>
        <v/>
      </c>
      <c r="F7" s="9"/>
      <c r="G7" s="2"/>
      <c r="H7" s="2"/>
      <c r="I7" s="2" t="str">
        <f>IF(AND(G7&lt;&gt;"",H7&lt;&gt;""),H7/G7,"")</f>
        <v/>
      </c>
    </row>
    <row r="8" spans="1:9" x14ac:dyDescent="0.25">
      <c r="A8" s="10" t="s">
        <v>179</v>
      </c>
      <c r="B8" s="9"/>
      <c r="C8" s="9"/>
      <c r="D8" s="9"/>
      <c r="E8" s="9"/>
      <c r="F8" s="9"/>
      <c r="G8" s="9"/>
      <c r="H8" s="9"/>
      <c r="I8" s="9"/>
    </row>
    <row r="9" spans="1:9" x14ac:dyDescent="0.25">
      <c r="A9" s="7" t="s">
        <v>180</v>
      </c>
      <c r="B9" s="2"/>
      <c r="C9" s="2"/>
      <c r="D9" s="2"/>
      <c r="E9" s="2" t="str">
        <f>IF(AND(C9&lt;&gt;"",D9&lt;&gt;""),D9/C9,"")</f>
        <v/>
      </c>
      <c r="F9" s="9"/>
      <c r="G9" s="2"/>
      <c r="H9" s="2"/>
      <c r="I9" s="2" t="str">
        <f>IF(AND(G9&lt;&gt;"",H9&lt;&gt;""),H9/G9,"")</f>
        <v/>
      </c>
    </row>
    <row r="10" spans="1:9" x14ac:dyDescent="0.25">
      <c r="A10" s="7" t="s">
        <v>181</v>
      </c>
      <c r="B10" s="2"/>
      <c r="C10" s="2"/>
      <c r="D10" s="2"/>
      <c r="E10" s="2" t="str">
        <f>IF(AND(C10&lt;&gt;"",D10&lt;&gt;""),D10/C10,"")</f>
        <v/>
      </c>
      <c r="F10" s="9"/>
      <c r="G10" s="2"/>
      <c r="H10" s="2"/>
      <c r="I10" s="2" t="str">
        <f>IF(AND(G10&lt;&gt;"",H10&lt;&gt;""),H10/G10,"")</f>
        <v/>
      </c>
    </row>
    <row r="11" spans="1:9" x14ac:dyDescent="0.25">
      <c r="A11" s="7" t="s">
        <v>182</v>
      </c>
      <c r="B11" s="2"/>
      <c r="C11" s="2"/>
      <c r="D11" s="2"/>
      <c r="E11" s="2" t="str">
        <f>IF(AND(C11&lt;&gt;"",D11&lt;&gt;""),D11/C11,"")</f>
        <v/>
      </c>
      <c r="F11" s="9"/>
      <c r="G11" s="2"/>
      <c r="H11" s="2"/>
      <c r="I11" s="2" t="str">
        <f>IF(AND(G11&lt;&gt;"",H11&lt;&gt;""),H11/G11,"")</f>
        <v/>
      </c>
    </row>
    <row r="12" spans="1:9" x14ac:dyDescent="0.25">
      <c r="A12" s="10" t="s">
        <v>183</v>
      </c>
      <c r="B12" s="9"/>
      <c r="C12" s="9"/>
      <c r="D12" s="9"/>
      <c r="E12" s="9"/>
      <c r="F12" s="9"/>
      <c r="G12" s="9"/>
      <c r="H12" s="9"/>
      <c r="I12" s="9"/>
    </row>
    <row r="13" spans="1:9" x14ac:dyDescent="0.25">
      <c r="A13" s="7" t="s">
        <v>184</v>
      </c>
      <c r="B13" s="2"/>
      <c r="C13" s="2"/>
      <c r="D13" s="2"/>
      <c r="E13" s="2" t="str">
        <f t="shared" ref="E13:E20" si="0">IF(AND(C13&lt;&gt;"",D13&lt;&gt;""),D13/C13,"")</f>
        <v/>
      </c>
      <c r="F13" s="9"/>
      <c r="G13" s="2"/>
      <c r="H13" s="2"/>
      <c r="I13" s="2" t="str">
        <f t="shared" ref="I13:I20" si="1">IF(AND(G13&lt;&gt;"",H13&lt;&gt;""),H13/G13,"")</f>
        <v/>
      </c>
    </row>
    <row r="14" spans="1:9" x14ac:dyDescent="0.25">
      <c r="A14" s="7" t="s">
        <v>185</v>
      </c>
      <c r="B14" s="2"/>
      <c r="C14" s="2"/>
      <c r="D14" s="2"/>
      <c r="E14" s="2" t="str">
        <f t="shared" si="0"/>
        <v/>
      </c>
      <c r="F14" s="9"/>
      <c r="G14" s="2"/>
      <c r="H14" s="2"/>
      <c r="I14" s="2" t="str">
        <f t="shared" si="1"/>
        <v/>
      </c>
    </row>
    <row r="15" spans="1:9" x14ac:dyDescent="0.25">
      <c r="A15" s="7" t="s">
        <v>186</v>
      </c>
      <c r="B15" s="2"/>
      <c r="C15" s="2"/>
      <c r="D15" s="2"/>
      <c r="E15" s="2" t="str">
        <f t="shared" si="0"/>
        <v/>
      </c>
      <c r="F15" s="9"/>
      <c r="G15" s="2"/>
      <c r="H15" s="2"/>
      <c r="I15" s="2" t="str">
        <f t="shared" si="1"/>
        <v/>
      </c>
    </row>
    <row r="16" spans="1:9" x14ac:dyDescent="0.25">
      <c r="A16" s="7" t="s">
        <v>187</v>
      </c>
      <c r="B16" s="2"/>
      <c r="C16" s="2"/>
      <c r="D16" s="2"/>
      <c r="E16" s="2" t="str">
        <f t="shared" si="0"/>
        <v/>
      </c>
      <c r="F16" s="9"/>
      <c r="G16" s="2"/>
      <c r="H16" s="2"/>
      <c r="I16" s="2" t="str">
        <f t="shared" si="1"/>
        <v/>
      </c>
    </row>
    <row r="17" spans="1:9" x14ac:dyDescent="0.25">
      <c r="A17" s="7" t="s">
        <v>188</v>
      </c>
      <c r="B17" s="2"/>
      <c r="C17" s="2"/>
      <c r="D17" s="2"/>
      <c r="E17" s="2" t="str">
        <f t="shared" si="0"/>
        <v/>
      </c>
      <c r="F17" s="9"/>
      <c r="G17" s="2"/>
      <c r="H17" s="2"/>
      <c r="I17" s="2" t="str">
        <f t="shared" si="1"/>
        <v/>
      </c>
    </row>
    <row r="18" spans="1:9" x14ac:dyDescent="0.25">
      <c r="A18" s="7" t="s">
        <v>189</v>
      </c>
      <c r="B18" s="2"/>
      <c r="C18" s="2"/>
      <c r="D18" s="2"/>
      <c r="E18" s="2" t="str">
        <f t="shared" si="0"/>
        <v/>
      </c>
      <c r="F18" s="9"/>
      <c r="G18" s="2"/>
      <c r="H18" s="2"/>
      <c r="I18" s="2" t="str">
        <f t="shared" si="1"/>
        <v/>
      </c>
    </row>
    <row r="19" spans="1:9" x14ac:dyDescent="0.25">
      <c r="A19" s="7" t="s">
        <v>190</v>
      </c>
      <c r="B19" s="2"/>
      <c r="C19" s="2"/>
      <c r="D19" s="2"/>
      <c r="E19" s="2" t="str">
        <f t="shared" si="0"/>
        <v/>
      </c>
      <c r="F19" s="9"/>
      <c r="G19" s="2"/>
      <c r="H19" s="2"/>
      <c r="I19" s="2" t="str">
        <f t="shared" si="1"/>
        <v/>
      </c>
    </row>
    <row r="20" spans="1:9" x14ac:dyDescent="0.25">
      <c r="A20" s="7" t="s">
        <v>191</v>
      </c>
      <c r="B20" s="2"/>
      <c r="C20" s="2"/>
      <c r="D20" s="2"/>
      <c r="E20" s="2" t="str">
        <f t="shared" si="0"/>
        <v/>
      </c>
      <c r="F20" s="9"/>
      <c r="G20" s="2"/>
      <c r="H20" s="2"/>
      <c r="I20" s="2" t="str">
        <f t="shared" si="1"/>
        <v/>
      </c>
    </row>
    <row r="21" spans="1:9" x14ac:dyDescent="0.25">
      <c r="A21" s="10" t="s">
        <v>192</v>
      </c>
      <c r="B21" s="9"/>
      <c r="C21" s="9"/>
      <c r="D21" s="9"/>
      <c r="E21" s="9"/>
      <c r="F21" s="9"/>
      <c r="G21" s="9"/>
      <c r="H21" s="9"/>
      <c r="I21" s="9"/>
    </row>
    <row r="22" spans="1:9" x14ac:dyDescent="0.25">
      <c r="A22" s="7" t="s">
        <v>193</v>
      </c>
      <c r="B22" s="2"/>
      <c r="C22" s="2"/>
      <c r="D22" s="2"/>
      <c r="E22" s="2" t="str">
        <f t="shared" ref="E22:E28" si="2">IF(AND(C22&lt;&gt;"",D22&lt;&gt;""),D22/C22,"")</f>
        <v/>
      </c>
      <c r="F22" s="9"/>
      <c r="G22" s="2"/>
      <c r="H22" s="2"/>
      <c r="I22" s="2" t="str">
        <f t="shared" ref="I22:I28" si="3">IF(AND(G22&lt;&gt;"",H22&lt;&gt;""),H22/G22,"")</f>
        <v/>
      </c>
    </row>
    <row r="23" spans="1:9" x14ac:dyDescent="0.25">
      <c r="A23" s="7" t="s">
        <v>194</v>
      </c>
      <c r="B23" s="2"/>
      <c r="C23" s="2"/>
      <c r="D23" s="2"/>
      <c r="E23" s="2" t="str">
        <f t="shared" si="2"/>
        <v/>
      </c>
      <c r="F23" s="9"/>
      <c r="G23" s="2"/>
      <c r="H23" s="2"/>
      <c r="I23" s="2" t="str">
        <f t="shared" si="3"/>
        <v/>
      </c>
    </row>
    <row r="24" spans="1:9" x14ac:dyDescent="0.25">
      <c r="A24" s="7" t="s">
        <v>195</v>
      </c>
      <c r="B24" s="2"/>
      <c r="C24" s="2"/>
      <c r="D24" s="2"/>
      <c r="E24" s="2" t="str">
        <f t="shared" si="2"/>
        <v/>
      </c>
      <c r="F24" s="9"/>
      <c r="G24" s="2"/>
      <c r="H24" s="2"/>
      <c r="I24" s="2" t="str">
        <f t="shared" si="3"/>
        <v/>
      </c>
    </row>
    <row r="25" spans="1:9" x14ac:dyDescent="0.25">
      <c r="A25" s="7" t="s">
        <v>196</v>
      </c>
      <c r="B25" s="2"/>
      <c r="C25" s="2"/>
      <c r="D25" s="2"/>
      <c r="E25" s="2" t="str">
        <f t="shared" si="2"/>
        <v/>
      </c>
      <c r="F25" s="9"/>
      <c r="G25" s="2"/>
      <c r="H25" s="2"/>
      <c r="I25" s="2" t="str">
        <f t="shared" si="3"/>
        <v/>
      </c>
    </row>
    <row r="26" spans="1:9" x14ac:dyDescent="0.25">
      <c r="A26" s="7" t="s">
        <v>197</v>
      </c>
      <c r="B26" s="2"/>
      <c r="C26" s="2"/>
      <c r="D26" s="2"/>
      <c r="E26" s="2" t="str">
        <f t="shared" si="2"/>
        <v/>
      </c>
      <c r="F26" s="9"/>
      <c r="G26" s="2"/>
      <c r="H26" s="2"/>
      <c r="I26" s="2" t="str">
        <f t="shared" si="3"/>
        <v/>
      </c>
    </row>
    <row r="27" spans="1:9" x14ac:dyDescent="0.25">
      <c r="A27" s="7" t="s">
        <v>198</v>
      </c>
      <c r="B27" s="2"/>
      <c r="C27" s="2"/>
      <c r="D27" s="2"/>
      <c r="E27" s="2" t="str">
        <f t="shared" si="2"/>
        <v/>
      </c>
      <c r="F27" s="9"/>
      <c r="G27" s="2"/>
      <c r="H27" s="2"/>
      <c r="I27" s="2" t="str">
        <f t="shared" si="3"/>
        <v/>
      </c>
    </row>
    <row r="28" spans="1:9" x14ac:dyDescent="0.25">
      <c r="A28" s="7" t="s">
        <v>199</v>
      </c>
      <c r="B28" s="2"/>
      <c r="C28" s="2"/>
      <c r="D28" s="2"/>
      <c r="E28" s="2" t="str">
        <f t="shared" si="2"/>
        <v/>
      </c>
      <c r="F28" s="9"/>
      <c r="G28" s="2"/>
      <c r="H28" s="2"/>
      <c r="I28" s="2" t="str">
        <f t="shared" si="3"/>
        <v/>
      </c>
    </row>
    <row r="29" spans="1:9" x14ac:dyDescent="0.25">
      <c r="A29" s="10" t="s">
        <v>200</v>
      </c>
      <c r="B29" s="9"/>
      <c r="C29" s="9"/>
      <c r="D29" s="9"/>
      <c r="E29" s="9"/>
      <c r="F29" s="9"/>
      <c r="G29" s="9"/>
      <c r="H29" s="9"/>
      <c r="I29" s="9"/>
    </row>
    <row r="30" spans="1:9" x14ac:dyDescent="0.25">
      <c r="A30" s="7" t="s">
        <v>201</v>
      </c>
      <c r="B30" s="2"/>
      <c r="C30" s="2"/>
      <c r="D30" s="2"/>
      <c r="E30" s="2" t="str">
        <f>IF(AND(C30&lt;&gt;"",D30&lt;&gt;""),D30/C30,"")</f>
        <v/>
      </c>
      <c r="F30" s="9"/>
      <c r="G30" s="2"/>
      <c r="H30" s="2"/>
      <c r="I30" s="2" t="str">
        <f>IF(AND(G30&lt;&gt;"",H30&lt;&gt;""),H30/G30,"")</f>
        <v/>
      </c>
    </row>
    <row r="31" spans="1:9" x14ac:dyDescent="0.25">
      <c r="A31" s="7" t="s">
        <v>202</v>
      </c>
      <c r="B31" s="2"/>
      <c r="C31" s="2"/>
      <c r="D31" s="2"/>
      <c r="E31" s="2" t="str">
        <f>IF(AND(C31&lt;&gt;"",D31&lt;&gt;""),D31/C31,"")</f>
        <v/>
      </c>
      <c r="F31" s="9"/>
      <c r="G31" s="2"/>
      <c r="H31" s="2"/>
      <c r="I31" s="2" t="str">
        <f>IF(AND(G31&lt;&gt;"",H31&lt;&gt;""),H31/G31,"")</f>
        <v/>
      </c>
    </row>
    <row r="32" spans="1:9" x14ac:dyDescent="0.25">
      <c r="A32" s="7" t="s">
        <v>203</v>
      </c>
      <c r="B32" s="2"/>
      <c r="C32" s="2"/>
      <c r="D32" s="2"/>
      <c r="E32" s="2" t="str">
        <f>IF(AND(C32&lt;&gt;"",D32&lt;&gt;""),D32/C32,"")</f>
        <v/>
      </c>
      <c r="F32" s="9"/>
      <c r="G32" s="2"/>
      <c r="H32" s="2"/>
      <c r="I32" s="2" t="str">
        <f>IF(AND(G32&lt;&gt;"",H32&lt;&gt;""),H32/G32,"")</f>
        <v/>
      </c>
    </row>
    <row r="33" spans="1:9" x14ac:dyDescent="0.25">
      <c r="A33" s="10" t="s">
        <v>204</v>
      </c>
      <c r="B33" s="9"/>
      <c r="C33" s="9"/>
      <c r="D33" s="9"/>
      <c r="E33" s="9"/>
      <c r="F33" s="9"/>
      <c r="G33" s="9"/>
      <c r="H33" s="9"/>
      <c r="I33" s="9"/>
    </row>
    <row r="34" spans="1:9" x14ac:dyDescent="0.25">
      <c r="A34" s="7" t="s">
        <v>205</v>
      </c>
      <c r="B34" s="2"/>
      <c r="C34" s="2"/>
      <c r="D34" s="2"/>
      <c r="E34" s="2" t="str">
        <f>IF(AND(C34&lt;&gt;"",D34&lt;&gt;""),D34/C34,"")</f>
        <v/>
      </c>
      <c r="F34" s="9"/>
      <c r="G34" s="2"/>
      <c r="H34" s="2"/>
      <c r="I34" s="2" t="str">
        <f>IF(AND(G34&lt;&gt;"",H34&lt;&gt;""),H34/G34,"")</f>
        <v/>
      </c>
    </row>
    <row r="35" spans="1:9" x14ac:dyDescent="0.25">
      <c r="A35" s="7" t="s">
        <v>206</v>
      </c>
      <c r="B35" s="2"/>
      <c r="C35" s="2"/>
      <c r="D35" s="2"/>
      <c r="E35" s="2" t="str">
        <f>IF(AND(C35&lt;&gt;"",D35&lt;&gt;""),D35/C35,"")</f>
        <v/>
      </c>
      <c r="F35" s="9"/>
      <c r="G35" s="2"/>
      <c r="H35" s="2"/>
      <c r="I35" s="2" t="str">
        <f>IF(AND(G35&lt;&gt;"",H35&lt;&gt;""),H35/G35,"")</f>
        <v/>
      </c>
    </row>
    <row r="36" spans="1:9" x14ac:dyDescent="0.25">
      <c r="A36" s="7" t="s">
        <v>207</v>
      </c>
      <c r="B36" s="2"/>
      <c r="C36" s="2"/>
      <c r="D36" s="2"/>
      <c r="E36" s="2" t="str">
        <f>IF(AND(C36&lt;&gt;"",D36&lt;&gt;""),D36/C36,"")</f>
        <v/>
      </c>
      <c r="F36" s="9"/>
      <c r="G36" s="2"/>
      <c r="H36" s="2"/>
      <c r="I36" s="2" t="str">
        <f>IF(AND(G36&lt;&gt;"",H36&lt;&gt;""),H36/G36,"")</f>
        <v/>
      </c>
    </row>
    <row r="37" spans="1:9" x14ac:dyDescent="0.25">
      <c r="A37" s="7" t="s">
        <v>208</v>
      </c>
      <c r="B37" s="2"/>
      <c r="C37" s="2"/>
      <c r="D37" s="2"/>
      <c r="E37" s="2" t="str">
        <f>IF(AND(C37&lt;&gt;"",D37&lt;&gt;""),D37/C37,"")</f>
        <v/>
      </c>
      <c r="F37" s="9"/>
      <c r="G37" s="2"/>
      <c r="H37" s="2"/>
      <c r="I37" s="2" t="str">
        <f>IF(AND(G37&lt;&gt;"",H37&lt;&gt;""),H37/G37,"")</f>
        <v/>
      </c>
    </row>
    <row r="38" spans="1:9" x14ac:dyDescent="0.25">
      <c r="A38" s="7" t="s">
        <v>209</v>
      </c>
      <c r="B38" s="2"/>
      <c r="C38" s="2"/>
      <c r="D38" s="2"/>
      <c r="E38" s="2" t="str">
        <f>IF(AND(C38&lt;&gt;"",D38&lt;&gt;""),D38/C38,"")</f>
        <v/>
      </c>
      <c r="F38" s="9"/>
      <c r="G38" s="2"/>
      <c r="H38" s="2"/>
      <c r="I38" s="2" t="str">
        <f>IF(AND(G38&lt;&gt;"",H38&lt;&gt;""),H38/G38,"")</f>
        <v/>
      </c>
    </row>
    <row r="39" spans="1:9" x14ac:dyDescent="0.25">
      <c r="A39" s="8" t="s">
        <v>97</v>
      </c>
      <c r="B39" s="8"/>
      <c r="C39" s="8">
        <f>SUM(C5:C38)</f>
        <v>0</v>
      </c>
      <c r="D39" s="8">
        <f>SUM(D5:D38)</f>
        <v>0</v>
      </c>
      <c r="E39" s="8" t="str">
        <f>IF(C39&gt;0, D39/C39,"")</f>
        <v/>
      </c>
      <c r="F39" s="8"/>
      <c r="G39" s="8">
        <f>SUM(G5:G38)</f>
        <v>0</v>
      </c>
      <c r="H39" s="8">
        <f>SUM(H5:H38)</f>
        <v>0</v>
      </c>
      <c r="I39" s="8" t="str">
        <f>IF(G39&gt;0, H39/G39,"")</f>
        <v/>
      </c>
    </row>
    <row r="41" spans="1:9" x14ac:dyDescent="0.25">
      <c r="A41" s="5" t="s">
        <v>98</v>
      </c>
      <c r="B41" s="5"/>
      <c r="C41" s="5">
        <f>C39+G39</f>
        <v>0</v>
      </c>
      <c r="D41" s="5">
        <f>D39+H39</f>
        <v>0</v>
      </c>
      <c r="E41" s="5" t="str">
        <f>IF(C41&gt;0, D41/C41,"")</f>
        <v/>
      </c>
      <c r="F41" s="5"/>
      <c r="G41" s="5"/>
      <c r="H41" s="5"/>
      <c r="I41" s="5"/>
    </row>
    <row r="44" spans="1:9" hidden="1" x14ac:dyDescent="0.25"/>
    <row r="45" spans="1:9" hidden="1" x14ac:dyDescent="0.25"/>
    <row r="46" spans="1:9" hidden="1" x14ac:dyDescent="0.25"/>
    <row r="47" spans="1:9" hidden="1" x14ac:dyDescent="0.25"/>
    <row r="48" spans="1:9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</sheetData>
  <mergeCells count="3">
    <mergeCell ref="G3:I3"/>
    <mergeCell ref="A1:I1"/>
    <mergeCell ref="A3:E3"/>
  </mergeCells>
  <phoneticPr fontId="8" type="noConversion"/>
  <conditionalFormatting sqref="E6:E7">
    <cfRule type="cellIs" dxfId="41" priority="1" operator="greaterThanOrEqual">
      <formula>0.9</formula>
    </cfRule>
    <cfRule type="cellIs" dxfId="40" priority="2" operator="between">
      <formula>0.8</formula>
      <formula>0.9</formula>
    </cfRule>
    <cfRule type="cellIs" dxfId="39" priority="3" operator="lessThan">
      <formula>0.8</formula>
    </cfRule>
  </conditionalFormatting>
  <conditionalFormatting sqref="E9:E11">
    <cfRule type="cellIs" dxfId="38" priority="7" operator="greaterThanOrEqual">
      <formula>0.9</formula>
    </cfRule>
    <cfRule type="cellIs" dxfId="37" priority="8" operator="between">
      <formula>0.8</formula>
      <formula>0.9</formula>
    </cfRule>
    <cfRule type="cellIs" dxfId="36" priority="9" operator="lessThan">
      <formula>0.8</formula>
    </cfRule>
  </conditionalFormatting>
  <conditionalFormatting sqref="E13:E20">
    <cfRule type="cellIs" dxfId="35" priority="16" operator="greaterThanOrEqual">
      <formula>0.9</formula>
    </cfRule>
    <cfRule type="cellIs" dxfId="34" priority="17" operator="between">
      <formula>0.8</formula>
      <formula>0.9</formula>
    </cfRule>
    <cfRule type="cellIs" dxfId="33" priority="18" operator="lessThan">
      <formula>0.8</formula>
    </cfRule>
  </conditionalFormatting>
  <conditionalFormatting sqref="E22:E28">
    <cfRule type="cellIs" dxfId="32" priority="40" operator="greaterThanOrEqual">
      <formula>0.9</formula>
    </cfRule>
    <cfRule type="cellIs" dxfId="31" priority="41" operator="between">
      <formula>0.8</formula>
      <formula>0.9</formula>
    </cfRule>
    <cfRule type="cellIs" dxfId="30" priority="42" operator="lessThan">
      <formula>0.8</formula>
    </cfRule>
  </conditionalFormatting>
  <conditionalFormatting sqref="E30:E32">
    <cfRule type="cellIs" dxfId="29" priority="61" operator="greaterThanOrEqual">
      <formula>0.9</formula>
    </cfRule>
    <cfRule type="cellIs" dxfId="28" priority="62" operator="between">
      <formula>0.8</formula>
      <formula>0.9</formula>
    </cfRule>
    <cfRule type="cellIs" dxfId="27" priority="63" operator="lessThan">
      <formula>0.8</formula>
    </cfRule>
  </conditionalFormatting>
  <conditionalFormatting sqref="E34:E39">
    <cfRule type="cellIs" dxfId="26" priority="70" operator="greaterThanOrEqual">
      <formula>0.9</formula>
    </cfRule>
    <cfRule type="cellIs" dxfId="25" priority="71" operator="between">
      <formula>0.8</formula>
      <formula>0.9</formula>
    </cfRule>
    <cfRule type="cellIs" dxfId="24" priority="72" operator="lessThan">
      <formula>0.8</formula>
    </cfRule>
  </conditionalFormatting>
  <conditionalFormatting sqref="E41">
    <cfRule type="cellIs" dxfId="23" priority="88" operator="greaterThanOrEqual">
      <formula>0.9</formula>
    </cfRule>
    <cfRule type="cellIs" dxfId="22" priority="89" operator="between">
      <formula>0.8</formula>
      <formula>0.9</formula>
    </cfRule>
    <cfRule type="cellIs" dxfId="21" priority="90" operator="lessThan">
      <formula>0.8</formula>
    </cfRule>
  </conditionalFormatting>
  <conditionalFormatting sqref="I6:I7">
    <cfRule type="cellIs" dxfId="20" priority="91" operator="greaterThanOrEqual">
      <formula>0.9</formula>
    </cfRule>
    <cfRule type="cellIs" dxfId="19" priority="92" operator="between">
      <formula>0.8</formula>
      <formula>0.9</formula>
    </cfRule>
    <cfRule type="cellIs" dxfId="18" priority="93" operator="lessThan">
      <formula>0.8</formula>
    </cfRule>
  </conditionalFormatting>
  <conditionalFormatting sqref="I9:I11">
    <cfRule type="cellIs" dxfId="17" priority="97" operator="greaterThanOrEqual">
      <formula>0.9</formula>
    </cfRule>
    <cfRule type="cellIs" dxfId="16" priority="98" operator="between">
      <formula>0.8</formula>
      <formula>0.9</formula>
    </cfRule>
    <cfRule type="cellIs" dxfId="15" priority="99" operator="lessThan">
      <formula>0.8</formula>
    </cfRule>
  </conditionalFormatting>
  <conditionalFormatting sqref="I13:I20">
    <cfRule type="cellIs" dxfId="14" priority="106" operator="greaterThanOrEqual">
      <formula>0.9</formula>
    </cfRule>
    <cfRule type="cellIs" dxfId="13" priority="107" operator="between">
      <formula>0.8</formula>
      <formula>0.9</formula>
    </cfRule>
    <cfRule type="cellIs" dxfId="12" priority="108" operator="lessThan">
      <formula>0.8</formula>
    </cfRule>
  </conditionalFormatting>
  <conditionalFormatting sqref="I22:I28">
    <cfRule type="cellIs" dxfId="11" priority="130" operator="greaterThanOrEqual">
      <formula>0.9</formula>
    </cfRule>
    <cfRule type="cellIs" dxfId="10" priority="131" operator="between">
      <formula>0.8</formula>
      <formula>0.9</formula>
    </cfRule>
    <cfRule type="cellIs" dxfId="9" priority="132" operator="lessThan">
      <formula>0.8</formula>
    </cfRule>
  </conditionalFormatting>
  <conditionalFormatting sqref="I30:I32">
    <cfRule type="cellIs" dxfId="8" priority="151" operator="greaterThanOrEqual">
      <formula>0.9</formula>
    </cfRule>
    <cfRule type="cellIs" dxfId="7" priority="152" operator="between">
      <formula>0.8</formula>
      <formula>0.9</formula>
    </cfRule>
    <cfRule type="cellIs" dxfId="6" priority="153" operator="lessThan">
      <formula>0.8</formula>
    </cfRule>
  </conditionalFormatting>
  <conditionalFormatting sqref="I34:I39">
    <cfRule type="cellIs" dxfId="5" priority="160" operator="greaterThanOrEqual">
      <formula>0.9</formula>
    </cfRule>
    <cfRule type="cellIs" dxfId="4" priority="161" operator="between">
      <formula>0.8</formula>
      <formula>0.9</formula>
    </cfRule>
    <cfRule type="cellIs" dxfId="3" priority="162" operator="lessThan">
      <formula>0.8</formula>
    </cfRule>
  </conditionalFormatting>
  <conditionalFormatting sqref="I41">
    <cfRule type="cellIs" dxfId="2" priority="178" operator="greaterThanOrEqual">
      <formula>0.9</formula>
    </cfRule>
    <cfRule type="cellIs" dxfId="1" priority="179" operator="between">
      <formula>0.8</formula>
      <formula>0.9</formula>
    </cfRule>
    <cfRule type="cellIs" dxfId="0" priority="180" operator="lessThan">
      <formula>0.8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张宇1000题</vt:lpstr>
      <vt:lpstr>王道操作系统</vt:lpstr>
      <vt:lpstr>王道计组</vt:lpstr>
      <vt:lpstr>王道数据结构</vt:lpstr>
      <vt:lpstr>王道计网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souxin du</cp:lastModifiedBy>
  <dcterms:created xsi:type="dcterms:W3CDTF">2026-06-08T08:16:17Z</dcterms:created>
  <dcterms:modified xsi:type="dcterms:W3CDTF">2026-06-08T13:55:53Z</dcterms:modified>
</cp:coreProperties>
</file>