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1E3C59F1-72DD-4337-BCC8-FB2DD411AB4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汇总看板" sheetId="1" r:id="rId1"/>
    <sheet name="张宇1000题" sheetId="2" r:id="rId2"/>
    <sheet name="王道操作系统" sheetId="3" r:id="rId3"/>
    <sheet name="王道计组" sheetId="4" r:id="rId4"/>
    <sheet name="王道数据结构" sheetId="5" r:id="rId5"/>
    <sheet name="王道计网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6" l="1"/>
  <c r="C39" i="6"/>
  <c r="E39" i="6" s="1"/>
  <c r="E8" i="1" s="1"/>
  <c r="E37" i="6"/>
  <c r="E36" i="6"/>
  <c r="E35" i="6"/>
  <c r="E34" i="6"/>
  <c r="E33" i="6"/>
  <c r="E31" i="6"/>
  <c r="E30" i="6"/>
  <c r="E29" i="6"/>
  <c r="E27" i="6"/>
  <c r="E26" i="6"/>
  <c r="E25" i="6"/>
  <c r="E24" i="6"/>
  <c r="E23" i="6"/>
  <c r="E22" i="6"/>
  <c r="E21" i="6"/>
  <c r="E19" i="6"/>
  <c r="E18" i="6"/>
  <c r="E17" i="6"/>
  <c r="E16" i="6"/>
  <c r="E15" i="6"/>
  <c r="E14" i="6"/>
  <c r="E13" i="6"/>
  <c r="E12" i="6"/>
  <c r="E10" i="6"/>
  <c r="E9" i="6"/>
  <c r="E8" i="6"/>
  <c r="E6" i="6"/>
  <c r="E5" i="6"/>
  <c r="D45" i="5"/>
  <c r="D7" i="1" s="1"/>
  <c r="C45" i="5"/>
  <c r="E45" i="5" s="1"/>
  <c r="E7" i="1" s="1"/>
  <c r="E43" i="5"/>
  <c r="E42" i="5"/>
  <c r="E41" i="5"/>
  <c r="E40" i="5"/>
  <c r="E39" i="5"/>
  <c r="E38" i="5"/>
  <c r="E37" i="5"/>
  <c r="E35" i="5"/>
  <c r="E34" i="5"/>
  <c r="E33" i="5"/>
  <c r="E32" i="5"/>
  <c r="E31" i="5"/>
  <c r="E29" i="5"/>
  <c r="E28" i="5"/>
  <c r="E27" i="5"/>
  <c r="E26" i="5"/>
  <c r="E24" i="5"/>
  <c r="E23" i="5"/>
  <c r="E22" i="5"/>
  <c r="E21" i="5"/>
  <c r="E20" i="5"/>
  <c r="E18" i="5"/>
  <c r="E17" i="5"/>
  <c r="E15" i="5"/>
  <c r="E14" i="5"/>
  <c r="E13" i="5"/>
  <c r="E12" i="5"/>
  <c r="E10" i="5"/>
  <c r="E9" i="5"/>
  <c r="E8" i="5"/>
  <c r="E6" i="5"/>
  <c r="E5" i="5"/>
  <c r="D40" i="4"/>
  <c r="D6" i="1" s="1"/>
  <c r="C40" i="4"/>
  <c r="E38" i="4"/>
  <c r="E37" i="4"/>
  <c r="E36" i="4"/>
  <c r="E34" i="4"/>
  <c r="E33" i="4"/>
  <c r="E31" i="4"/>
  <c r="E30" i="4"/>
  <c r="E29" i="4"/>
  <c r="E28" i="4"/>
  <c r="E27" i="4"/>
  <c r="E26" i="4"/>
  <c r="E25" i="4"/>
  <c r="E23" i="4"/>
  <c r="E22" i="4"/>
  <c r="E21" i="4"/>
  <c r="E20" i="4"/>
  <c r="E18" i="4"/>
  <c r="E17" i="4"/>
  <c r="E16" i="4"/>
  <c r="E15" i="4"/>
  <c r="E14" i="4"/>
  <c r="E13" i="4"/>
  <c r="E11" i="4"/>
  <c r="E10" i="4"/>
  <c r="E9" i="4"/>
  <c r="E7" i="4"/>
  <c r="E6" i="4"/>
  <c r="E5" i="4"/>
  <c r="D28" i="3"/>
  <c r="D5" i="1" s="1"/>
  <c r="C28" i="3"/>
  <c r="B5" i="1" s="1"/>
  <c r="F5" i="1" s="1"/>
  <c r="E26" i="3"/>
  <c r="E25" i="3"/>
  <c r="E24" i="3"/>
  <c r="E22" i="3"/>
  <c r="E21" i="3"/>
  <c r="E20" i="3"/>
  <c r="E18" i="3"/>
  <c r="E17" i="3"/>
  <c r="E15" i="3"/>
  <c r="E14" i="3"/>
  <c r="E13" i="3"/>
  <c r="E12" i="3"/>
  <c r="E10" i="3"/>
  <c r="E9" i="3"/>
  <c r="E8" i="3"/>
  <c r="E7" i="3"/>
  <c r="E6" i="3"/>
  <c r="E5" i="3"/>
  <c r="D94" i="2"/>
  <c r="C94" i="2"/>
  <c r="B123" i="2" s="1"/>
  <c r="E92" i="2"/>
  <c r="E91" i="2"/>
  <c r="E90" i="2"/>
  <c r="E89" i="2"/>
  <c r="E87" i="2"/>
  <c r="E86" i="2"/>
  <c r="E85" i="2"/>
  <c r="E84" i="2"/>
  <c r="E83" i="2"/>
  <c r="E82" i="2"/>
  <c r="E81" i="2"/>
  <c r="E80" i="2"/>
  <c r="E79" i="2"/>
  <c r="E77" i="2"/>
  <c r="E76" i="2"/>
  <c r="E75" i="2"/>
  <c r="E74" i="2"/>
  <c r="E73" i="2"/>
  <c r="E72" i="2"/>
  <c r="E71" i="2"/>
  <c r="E70" i="2"/>
  <c r="E69" i="2"/>
  <c r="D64" i="2"/>
  <c r="C64" i="2"/>
  <c r="E64" i="2" s="1"/>
  <c r="H3" i="2" s="1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D40" i="2"/>
  <c r="D99" i="2" s="1"/>
  <c r="D4" i="1" s="1"/>
  <c r="C40" i="2"/>
  <c r="C99" i="2" s="1"/>
  <c r="E38" i="2"/>
  <c r="E37" i="2"/>
  <c r="E36" i="2"/>
  <c r="E35" i="2"/>
  <c r="E34" i="2"/>
  <c r="E33" i="2"/>
  <c r="E31" i="2"/>
  <c r="E30" i="2"/>
  <c r="E29" i="2"/>
  <c r="E28" i="2"/>
  <c r="E27" i="2"/>
  <c r="E26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F8" i="1"/>
  <c r="D8" i="1"/>
  <c r="C8" i="1"/>
  <c r="B8" i="1"/>
  <c r="C6" i="1"/>
  <c r="B6" i="1"/>
  <c r="F6" i="1" s="1"/>
  <c r="C5" i="1" l="1"/>
  <c r="D9" i="1"/>
  <c r="E28" i="3"/>
  <c r="E5" i="1" s="1"/>
  <c r="C4" i="1"/>
  <c r="B4" i="1"/>
  <c r="E99" i="2"/>
  <c r="E4" i="1" s="1"/>
  <c r="E40" i="4"/>
  <c r="E6" i="1" s="1"/>
  <c r="E94" i="2"/>
  <c r="H4" i="2" s="1"/>
  <c r="B121" i="2"/>
  <c r="B122" i="2"/>
  <c r="B7" i="1"/>
  <c r="F7" i="1" s="1"/>
  <c r="C7" i="1"/>
  <c r="E40" i="2"/>
  <c r="H2" i="2" s="1"/>
  <c r="E9" i="1" l="1"/>
  <c r="F4" i="1"/>
  <c r="F9" i="1" s="1"/>
  <c r="B9" i="1"/>
  <c r="C9" i="1"/>
</calcChain>
</file>

<file path=xl/sharedStrings.xml><?xml version="1.0" encoding="utf-8"?>
<sst xmlns="http://schemas.openxmlformats.org/spreadsheetml/2006/main" count="288" uniqueCount="224">
  <si>
    <t>408 + 数学一 · 习题正确率总览</t>
  </si>
  <si>
    <t>科目</t>
  </si>
  <si>
    <t>已完成小节数</t>
  </si>
  <si>
    <t>总题数</t>
  </si>
  <si>
    <t>正确数</t>
  </si>
  <si>
    <t>正确率</t>
  </si>
  <si>
    <t>进度</t>
  </si>
  <si>
    <t>张宇1000题（数学一）</t>
  </si>
  <si>
    <t>操作系统</t>
  </si>
  <si>
    <t>计算机组成原理</t>
  </si>
  <si>
    <t>数据结构</t>
  </si>
  <si>
    <t>计算机网络</t>
  </si>
  <si>
    <t>合  计</t>
  </si>
  <si>
    <t>张宇1000题 · 正确率记录（数学一）</t>
  </si>
  <si>
    <t>篇</t>
  </si>
  <si>
    <t>基础篇</t>
  </si>
  <si>
    <t xml:space="preserve">  基础篇  </t>
  </si>
  <si>
    <t>强化篇</t>
  </si>
  <si>
    <t>章节名</t>
  </si>
  <si>
    <t>日期</t>
  </si>
  <si>
    <t>总题目</t>
  </si>
  <si>
    <t>综合篇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</si>
  <si>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</si>
  <si>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</si>
  <si>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</si>
  <si>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</si>
  <si>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</si>
  <si>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</si>
  <si>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</si>
  <si>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</si>
  <si>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</si>
  <si>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</si>
  <si>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</si>
  <si>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</si>
  <si>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</si>
  <si>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</si>
  <si>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</si>
  <si>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</si>
  <si>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</si>
  <si>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</si>
  <si>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</si>
  <si>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</si>
  <si>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</si>
  <si>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</si>
  <si>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</si>
  <si>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</si>
  <si>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</si>
  <si>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</si>
  <si>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</si>
  <si>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</si>
  <si>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</si>
  <si>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</si>
  <si>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</si>
  <si>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</si>
  <si>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</si>
  <si>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</si>
  <si>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</si>
  <si>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 xml:space="preserve">  强化篇  </t>
  </si>
  <si>
    <t>强化篇汇总</t>
  </si>
  <si>
    <t xml:space="preserve">  综合篇  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</si>
  <si>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</si>
  <si>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</si>
  <si>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</si>
  <si>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</si>
  <si>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</si>
  <si>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</si>
  <si>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</si>
  <si>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</si>
  <si>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</si>
  <si>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</si>
  <si>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</si>
  <si>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</si>
  <si>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</si>
  <si>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</si>
  <si>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</si>
  <si>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</si>
  <si>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</si>
  <si>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</si>
  <si>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</si>
  <si>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</si>
  <si>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</si>
  <si>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</si>
  <si>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 xml:space="preserve">  整本习题汇总  </t>
  </si>
  <si>
    <t>总正确数</t>
  </si>
  <si>
    <t>总正确率</t>
  </si>
  <si>
    <t>整本合计</t>
  </si>
  <si>
    <t>篇章</t>
  </si>
  <si>
    <t>王道操作系统 · 课后习题正确率记录</t>
  </si>
  <si>
    <t>小节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</si>
  <si>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</si>
  <si>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</si>
  <si>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</si>
  <si>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</si>
  <si>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</si>
  <si>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</si>
  <si>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</si>
  <si>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</si>
  <si>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</si>
  <si>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</si>
  <si>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</si>
  <si>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</si>
  <si>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</si>
  <si>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</si>
  <si>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</si>
  <si>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</si>
  <si>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</si>
  <si>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</si>
  <si>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</si>
  <si>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</si>
  <si>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</si>
  <si>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</si>
  <si>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</si>
  <si>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</si>
  <si>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王道计算机组成原理 ·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</si>
  <si>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</si>
  <si>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</si>
  <si>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</si>
  <si>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</si>
  <si>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</si>
  <si>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</si>
  <si>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</si>
  <si>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</si>
  <si>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</si>
  <si>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</si>
  <si>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</si>
  <si>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</si>
  <si>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</si>
  <si>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</si>
  <si>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</si>
  <si>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</si>
  <si>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</si>
  <si>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</si>
  <si>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</si>
  <si>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</si>
  <si>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</si>
  <si>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</si>
  <si>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</si>
  <si>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</si>
  <si>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</si>
  <si>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</si>
  <si>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</si>
  <si>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</si>
  <si>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</si>
  <si>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</si>
  <si>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</si>
  <si>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</si>
  <si>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</si>
  <si>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</si>
  <si>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·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</si>
  <si>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</si>
  <si>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</si>
  <si>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</si>
  <si>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</si>
  <si>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</si>
  <si>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</si>
  <si>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</si>
  <si>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</si>
  <si>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</si>
  <si>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</si>
  <si>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</si>
  <si>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</si>
  <si>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</si>
  <si>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</si>
  <si>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</si>
  <si>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</si>
  <si>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</si>
  <si>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</si>
  <si>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</si>
  <si>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</si>
  <si>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</si>
  <si>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</si>
  <si>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</si>
  <si>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</si>
  <si>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</si>
  <si>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</si>
  <si>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</si>
  <si>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</si>
  <si>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</si>
  <si>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</si>
  <si>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</si>
  <si>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</si>
  <si>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</si>
  <si>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</si>
  <si>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</si>
  <si>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</si>
  <si>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</si>
  <si>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</si>
  <si>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</si>
  <si>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</si>
  <si>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·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</si>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</sst>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theme="1"/>
      <name val="宋体"/>
      <family val="2"/>
      <scheme val="minor"/>
    </font>
    <font>
      <b/>
      <sz val="16"/>
      <color rgb="FF1F4E79"/>
      <name val="微软雅黑"/>
      <family val="2"/>
      <charset val="134"/>
    </font>
    <font>
      <b/>
      <sz val="13"/>
      <color rgb="FFFFFFFF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1"/>
      <color rgb="FF2E75B6"/>
      <name val="微软雅黑"/>
      <family val="2"/>
      <charset val="134"/>
    </font>
    <font>
      <sz val="10.5"/>
      <name val="微软雅黑"/>
      <family val="2"/>
      <charset val="134"/>
    </font>
    <font>
      <b/>
      <sz val="11"/>
      <color rgb="FF1F4E79"/>
      <name val="微软雅黑"/>
      <family val="2"/>
      <charset val="134"/>
    </font>
    <font>
      <b/>
      <sz val="13"/>
      <color rgb="FFC00000"/>
      <name val="微软雅黑"/>
      <family val="2"/>
      <charset val="134"/>
    </font>
    <font>
      <b/>
      <sz val="12"/>
      <color rgb="FFC000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8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333333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sz val="9"/>
      <color rgb="FF888888"/>
      <name val="微软雅黑"/>
      <family val="2"/>
      <charset val="134"/>
    </font>
    <font>
      <sz val="10"/>
      <name val="微软雅黑"/>
      <family val="2"/>
      <charset val="134"/>
    </font>
  </fonts>
  <fills count="16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2E75B6"/>
        <bgColor rgb="FF2E75B6"/>
      </patternFill>
    </fill>
    <fill>
      <patternFill patternType="solid">
        <fgColor rgb="FF4472C4"/>
        <bgColor rgb="FF4472C4"/>
      </patternFill>
    </fill>
    <fill>
      <patternFill patternType="solid">
        <fgColor rgb="FFE9EFF7"/>
        <bgColor rgb="FFE9EFF7"/>
      </patternFill>
    </fill>
    <fill>
      <patternFill patternType="solid">
        <fgColor rgb="FFEBF5FB"/>
        <bgColor rgb="FFEBF5FB"/>
      </patternFill>
    </fill>
    <fill>
      <patternFill patternType="solid">
        <fgColor rgb="FFD5F5E3"/>
        <bgColor rgb="FFD5F5E3"/>
      </patternFill>
    </fill>
    <fill>
      <patternFill patternType="solid">
        <fgColor rgb="FFFDEDEC"/>
        <bgColor rgb="FFFDEDEC"/>
      </patternFill>
    </fill>
    <fill>
      <patternFill patternType="solid">
        <fgColor rgb="FFF0F4C3"/>
        <bgColor rgb="FFF0F4C3"/>
      </patternFill>
    </fill>
    <fill>
      <patternFill patternType="solid">
        <fgColor rgb="FFFCF3CF"/>
        <bgColor rgb="FFFCF3CF"/>
      </patternFill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EBF5FB"/>
        <bgColor rgb="FFEBF5FB"/>
      </patternFill>
    </fill>
    <fill>
      <patternFill patternType="solid">
        <fgColor rgb="FFFFFFFF"/>
        <bgColor rgb="FFFFFFFF"/>
      </patternFill>
    </fill>
    <fill>
      <patternFill patternType="solid">
        <fgColor rgb="FFFCF3CF"/>
        <bgColor rgb="FFFCF3CF"/>
      </patternFill>
    </fill>
  </fills>
  <borders count="9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2E75B6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2"/>
  </cellStyleXfs>
  <cellXfs count="39">
    <xf numFmtId="0" fontId="0" fillId="0" borderId="0" xfId="0" applyBorder="1"/>
    <xf numFmtId="0" fontId="0" fillId="0" borderId="2" xfId="0"/>
    <xf numFmtId="0" fontId="3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76" fontId="6" fillId="7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76" fontId="8" fillId="10" borderId="3" xfId="0" applyNumberFormat="1" applyFont="1" applyFill="1" applyBorder="1" applyAlignment="1">
      <alignment horizontal="center" vertical="center" wrapText="1"/>
    </xf>
    <xf numFmtId="0" fontId="11" fillId="12" borderId="6" xfId="0" applyFont="1" applyFill="1" applyBorder="1" applyAlignment="1">
      <alignment horizontal="center" vertical="center" wrapText="1"/>
    </xf>
    <xf numFmtId="0" fontId="12" fillId="13" borderId="6" xfId="0" applyFont="1" applyFill="1" applyBorder="1" applyAlignment="1">
      <alignment horizontal="left" vertical="center" wrapText="1"/>
    </xf>
    <xf numFmtId="0" fontId="13" fillId="13" borderId="6" xfId="0" applyFont="1" applyFill="1" applyBorder="1" applyAlignment="1">
      <alignment horizontal="center" vertical="center" wrapText="1"/>
    </xf>
    <xf numFmtId="176" fontId="13" fillId="13" borderId="6" xfId="0" applyNumberFormat="1" applyFont="1" applyFill="1" applyBorder="1" applyAlignment="1">
      <alignment horizontal="center" vertical="center" wrapText="1"/>
    </xf>
    <xf numFmtId="0" fontId="12" fillId="14" borderId="6" xfId="0" applyFont="1" applyFill="1" applyBorder="1" applyAlignment="1">
      <alignment horizontal="left" vertical="center" wrapText="1"/>
    </xf>
    <xf numFmtId="0" fontId="13" fillId="14" borderId="6" xfId="0" applyFont="1" applyFill="1" applyBorder="1" applyAlignment="1">
      <alignment horizontal="center" vertical="center" wrapText="1"/>
    </xf>
    <xf numFmtId="176" fontId="13" fillId="14" borderId="6" xfId="0" applyNumberFormat="1" applyFont="1" applyFill="1" applyBorder="1" applyAlignment="1">
      <alignment horizontal="center" vertical="center" wrapText="1"/>
    </xf>
    <xf numFmtId="0" fontId="14" fillId="15" borderId="6" xfId="0" applyFont="1" applyFill="1" applyBorder="1" applyAlignment="1">
      <alignment horizontal="center" vertical="center" wrapText="1"/>
    </xf>
    <xf numFmtId="176" fontId="14" fillId="15" borderId="6" xfId="0" applyNumberFormat="1" applyFont="1" applyFill="1" applyBorder="1" applyAlignment="1">
      <alignment horizontal="center" vertical="center" wrapText="1"/>
    </xf>
    <xf numFmtId="0" fontId="15" fillId="0" borderId="0" xfId="0" applyFont="1" applyBorder="1"/>
    <xf numFmtId="0" fontId="16" fillId="0" borderId="0" xfId="0" applyFont="1" applyBorder="1"/>
    <xf numFmtId="176" fontId="16" fillId="0" borderId="0" xfId="0" applyNumberFormat="1" applyFont="1" applyBorder="1"/>
    <xf numFmtId="0" fontId="10" fillId="11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14" fillId="15" borderId="6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24"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总题数 </a:t>
            </a:r>
            <a:r>
              <a:rPr lang="en-US"/>
              <a:t>vs </a:t>
            </a:r>
            <a:r>
              <a:rPr lang="zh-CN" altLang="en-US"/>
              <a:t>正确数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汇总看板!$B$1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汇总看板!$A$2:$A$6</c:f>
              <c:strCache>
                <c:ptCount val="5"/>
                <c:pt idx="1">
                  <c:v>科目</c:v>
                </c:pt>
                <c:pt idx="2">
                  <c:v>张宇1000题（数学一）</c:v>
                </c:pt>
                <c:pt idx="3">
                  <c:v>操作系统</c:v>
                </c:pt>
                <c:pt idx="4">
                  <c:v>计算机组成原理</c:v>
                </c:pt>
              </c:strCache>
            </c:strRef>
          </c:cat>
          <c:val>
            <c:numRef>
              <c:f>汇总看板!$B$2:$B$6</c:f>
              <c:numCache>
                <c:formatCode>General</c:formatCode>
                <c:ptCount val="5"/>
                <c:pt idx="1">
                  <c:v>0</c:v>
                </c:pt>
                <c:pt idx="2">
                  <c:v>15</c:v>
                </c:pt>
                <c:pt idx="3">
                  <c:v>9</c:v>
                </c:pt>
                <c:pt idx="4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29-4E38-B6E5-F3BBD42CAB02}"/>
            </c:ext>
          </c:extLst>
        </c:ser>
        <c:ser>
          <c:idx val="1"/>
          <c:order val="1"/>
          <c:tx>
            <c:strRef>
              <c:f>汇总看板!$C$1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汇总看板!$A$2:$A$6</c:f>
              <c:strCache>
                <c:ptCount val="5"/>
                <c:pt idx="1">
                  <c:v>科目</c:v>
                </c:pt>
                <c:pt idx="2">
                  <c:v>张宇1000题（数学一）</c:v>
                </c:pt>
                <c:pt idx="3">
                  <c:v>操作系统</c:v>
                </c:pt>
                <c:pt idx="4">
                  <c:v>计算机组成原理</c:v>
                </c:pt>
              </c:strCache>
            </c:strRef>
          </c:cat>
          <c:val>
            <c:numRef>
              <c:f>汇总看板!$C$2:$C$6</c:f>
              <c:numCache>
                <c:formatCode>General</c:formatCode>
                <c:ptCount val="5"/>
                <c:pt idx="1">
                  <c:v>0</c:v>
                </c:pt>
                <c:pt idx="2">
                  <c:v>204</c:v>
                </c:pt>
                <c:pt idx="3">
                  <c:v>317</c:v>
                </c:pt>
                <c:pt idx="4">
                  <c:v>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29-4E38-B6E5-F3BBD42CA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题数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正确率对比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汇总看板!$D$1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汇总看板!$A$2:$A$6</c:f>
              <c:strCache>
                <c:ptCount val="5"/>
                <c:pt idx="1">
                  <c:v>科目</c:v>
                </c:pt>
                <c:pt idx="2">
                  <c:v>张宇1000题（数学一）</c:v>
                </c:pt>
                <c:pt idx="3">
                  <c:v>操作系统</c:v>
                </c:pt>
                <c:pt idx="4">
                  <c:v>计算机组成原理</c:v>
                </c:pt>
              </c:strCache>
            </c:strRef>
          </c:cat>
          <c:val>
            <c:numRef>
              <c:f>汇总看板!$D$2:$D$6</c:f>
              <c:numCache>
                <c:formatCode>General</c:formatCode>
                <c:ptCount val="5"/>
                <c:pt idx="1">
                  <c:v>0</c:v>
                </c:pt>
                <c:pt idx="2">
                  <c:v>168</c:v>
                </c:pt>
                <c:pt idx="3">
                  <c:v>246</c:v>
                </c:pt>
                <c:pt idx="4">
                  <c:v>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28-43D1-B82D-BD169489D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各科目 正确率对比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完成进度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汇总看板!$F$1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汇总看板!$A$2:$A$6</c:f>
              <c:strCache>
                <c:ptCount val="5"/>
                <c:pt idx="1">
                  <c:v>科目</c:v>
                </c:pt>
                <c:pt idx="2">
                  <c:v>张宇1000题（数学一）</c:v>
                </c:pt>
                <c:pt idx="3">
                  <c:v>操作系统</c:v>
                </c:pt>
                <c:pt idx="4">
                  <c:v>计算机组成原理</c:v>
                </c:pt>
              </c:strCache>
            </c:strRef>
          </c:cat>
          <c:val>
            <c:numRef>
              <c:f>汇总看板!$F$2:$F$6</c:f>
              <c:numCache>
                <c:formatCode>General</c:formatCode>
                <c:ptCount val="5"/>
                <c:pt idx="1">
                  <c:v>0</c:v>
                </c:pt>
                <c:pt idx="2" formatCode="0.0%">
                  <c:v>0.2</c:v>
                </c:pt>
                <c:pt idx="3" formatCode="0.0%">
                  <c:v>0.47368421052631576</c:v>
                </c:pt>
                <c:pt idx="4" formatCode="0.0%">
                  <c:v>0.96551724137931039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76-4B00-8ECF-82E564075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各科目 完成进度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张宇</a:t>
            </a:r>
            <a:r>
              <a:rPr lang="en-US" altLang="zh-CN"/>
              <a:t>1000</a:t>
            </a:r>
            <a:r>
              <a:rPr lang="zh-CN" altLang="en-US"/>
              <a:t>题 各篇正确率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张宇1000题!$B$120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张宇1000题!$A$121:$A$123</c:f>
              <c:strCache>
                <c:ptCount val="3"/>
                <c:pt idx="0">
                  <c:v>基础篇</c:v>
                </c:pt>
                <c:pt idx="1">
                  <c:v>强化篇</c:v>
                </c:pt>
                <c:pt idx="2">
                  <c:v>综合篇</c:v>
                </c:pt>
              </c:strCache>
            </c:strRef>
          </c:cat>
          <c:val>
            <c:numRef>
              <c:f>张宇1000题!$B$121:$B$123</c:f>
              <c:numCache>
                <c:formatCode>General</c:formatCode>
                <c:ptCount val="3"/>
                <c:pt idx="0">
                  <c:v>0.82352941176470584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97-4F9B-B242-7C11B0C7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张宇</a:t>
                </a:r>
                <a:r>
                  <a:rPr lang="en-US" altLang="zh-CN"/>
                  <a:t>1000</a:t>
                </a:r>
                <a:r>
                  <a:rPr lang="zh-CN" altLang="en-US"/>
                  <a:t>题 各篇正确率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操作系统 各小节正确率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王道操作系统!$E$2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王道操作系统!$A$3:$A$26</c:f>
              <c:strCache>
                <c:ptCount val="24"/>
                <c:pt idx="0">
                  <c:v>小节</c:v>
                </c:pt>
                <c:pt idx="1">
                  <c:v>第1章 计算机系统概述</c:v>
                </c:pt>
                <c:pt idx="2">
                  <c:v>1.1 操作系统的基本概念</c:v>
                </c:pt>
                <c:pt idx="3">
                  <c:v>1.2 操作系统发展历程</c:v>
                </c:pt>
                <c:pt idx="4">
                  <c:v>1.3 操作系统的运行环境</c:v>
                </c:pt>
                <c:pt idx="5">
                  <c:v>1.4 操作系统结构</c:v>
                </c:pt>
                <c:pt idx="6">
                  <c:v>1.5 操作系统引导</c:v>
                </c:pt>
                <c:pt idx="7">
                  <c:v>1.6 虚拟机</c:v>
                </c:pt>
                <c:pt idx="8">
                  <c:v>第2章 进程与线程</c:v>
                </c:pt>
                <c:pt idx="9">
                  <c:v>2.1 进程与线程简介</c:v>
                </c:pt>
                <c:pt idx="10">
                  <c:v>2.2 CPU调度</c:v>
                </c:pt>
                <c:pt idx="11">
                  <c:v>2.3 同步与互斥</c:v>
                </c:pt>
                <c:pt idx="12">
                  <c:v>2.4 死锁</c:v>
                </c:pt>
                <c:pt idx="13">
                  <c:v>第3章 内存管理</c:v>
                </c:pt>
                <c:pt idx="14">
                  <c:v>3.1 内存管理概念</c:v>
                </c:pt>
                <c:pt idx="15">
                  <c:v>3.2 虚拟内存管理</c:v>
                </c:pt>
                <c:pt idx="16">
                  <c:v>第4章 文件管理</c:v>
                </c:pt>
                <c:pt idx="17">
                  <c:v>4.1 文件系统基础</c:v>
                </c:pt>
                <c:pt idx="18">
                  <c:v>4.2 目录与文件</c:v>
                </c:pt>
                <c:pt idx="19">
                  <c:v>4.3 文件系统</c:v>
                </c:pt>
                <c:pt idx="20">
                  <c:v>第5章 输入/输出管理</c:v>
                </c:pt>
                <c:pt idx="21">
                  <c:v>5.1 I/O管理概述</c:v>
                </c:pt>
                <c:pt idx="22">
                  <c:v>5.2 设备独立性软件</c:v>
                </c:pt>
                <c:pt idx="23">
                  <c:v>5.3 磁盘和固态硬盘</c:v>
                </c:pt>
              </c:strCache>
            </c:strRef>
          </c:cat>
          <c:val>
            <c:numRef>
              <c:f>王道操作系统!$E$3:$E$26</c:f>
              <c:numCache>
                <c:formatCode>General</c:formatCode>
                <c:ptCount val="24"/>
                <c:pt idx="0">
                  <c:v>0</c:v>
                </c:pt>
                <c:pt idx="2" formatCode="0.0%">
                  <c:v>0.90909090909090906</c:v>
                </c:pt>
                <c:pt idx="3" formatCode="0.0%">
                  <c:v>0.7</c:v>
                </c:pt>
                <c:pt idx="4" formatCode="0.0%">
                  <c:v>0.75757575757575757</c:v>
                </c:pt>
                <c:pt idx="5" formatCode="0.0%">
                  <c:v>0</c:v>
                </c:pt>
                <c:pt idx="6" formatCode="0.0%">
                  <c:v>0</c:v>
                </c:pt>
                <c:pt idx="7" formatCode="0.0%">
                  <c:v>0.63636363636363635</c:v>
                </c:pt>
                <c:pt idx="9" formatCode="0.0%">
                  <c:v>0.72602739726027399</c:v>
                </c:pt>
                <c:pt idx="10" formatCode="0.0%">
                  <c:v>0.80701754385964908</c:v>
                </c:pt>
                <c:pt idx="11" formatCode="0.0%">
                  <c:v>0.8214285714285714</c:v>
                </c:pt>
                <c:pt idx="12" formatCode="0.0%">
                  <c:v>0.84444444444444444</c:v>
                </c:pt>
                <c:pt idx="14" formatCode="0.0%">
                  <c:v>0</c:v>
                </c:pt>
                <c:pt idx="15" formatCode="0.0%">
                  <c:v>0</c:v>
                </c:pt>
                <c:pt idx="17" formatCode="0.0%">
                  <c:v>0</c:v>
                </c:pt>
                <c:pt idx="18" formatCode="0.0%">
                  <c:v>0</c:v>
                </c:pt>
                <c:pt idx="19" formatCode="0.0%">
                  <c:v>0</c:v>
                </c:pt>
                <c:pt idx="21" formatCode="0.0%">
                  <c:v>0</c:v>
                </c:pt>
                <c:pt idx="22" formatCode="0.0%">
                  <c:v>0</c:v>
                </c:pt>
                <c:pt idx="23" formatCode="0.0%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46-4F1A-BD83-C27A112CC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操作系统 各小节正确率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计组 各小节正确率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王道计组!$E$2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王道计组!$A$3:$A$38</c:f>
              <c:strCache>
                <c:ptCount val="36"/>
                <c:pt idx="0">
                  <c:v>小节</c:v>
                </c:pt>
                <c:pt idx="1">
                  <c:v>第1章 计算机系统概述</c:v>
                </c:pt>
                <c:pt idx="2">
                  <c:v>1.1 计算机发展历程</c:v>
                </c:pt>
                <c:pt idx="3">
                  <c:v>1.2 计算机系统层次结构</c:v>
                </c:pt>
                <c:pt idx="4">
                  <c:v>1.3 计算机的性能指标</c:v>
                </c:pt>
                <c:pt idx="5">
                  <c:v>第2章 数据的表示和运算</c:v>
                </c:pt>
                <c:pt idx="6">
                  <c:v>2.1 数制与编码</c:v>
                </c:pt>
                <c:pt idx="7">
                  <c:v>2.2 运算方法和运算电路</c:v>
                </c:pt>
                <c:pt idx="8">
                  <c:v>2.3 浮点数的表示与运算</c:v>
                </c:pt>
                <c:pt idx="9">
                  <c:v>第3章 存储系统</c:v>
                </c:pt>
                <c:pt idx="10">
                  <c:v>3.1 存储器概述</c:v>
                </c:pt>
                <c:pt idx="11">
                  <c:v>3.2 主存储器</c:v>
                </c:pt>
                <c:pt idx="12">
                  <c:v>3.3 主存储器与CPU的连接</c:v>
                </c:pt>
                <c:pt idx="13">
                  <c:v>3.4 外部存储器</c:v>
                </c:pt>
                <c:pt idx="14">
                  <c:v>3.5 高速缓冲存储器</c:v>
                </c:pt>
                <c:pt idx="15">
                  <c:v>3.6 虚拟存储器</c:v>
                </c:pt>
                <c:pt idx="16">
                  <c:v>第4章 指令系统</c:v>
                </c:pt>
                <c:pt idx="17">
                  <c:v>4.1 指令系统</c:v>
                </c:pt>
                <c:pt idx="18">
                  <c:v>4.2 寻址方式</c:v>
                </c:pt>
                <c:pt idx="19">
                  <c:v>4.3 程序的机器级代码表示</c:v>
                </c:pt>
                <c:pt idx="20">
                  <c:v>4.4 CISC和RISC的基本概念</c:v>
                </c:pt>
                <c:pt idx="21">
                  <c:v>第5章 中央处理器</c:v>
                </c:pt>
                <c:pt idx="22">
                  <c:v>5.1 CPU的功能和基本结构</c:v>
                </c:pt>
                <c:pt idx="23">
                  <c:v>5.2 指令执行过程</c:v>
                </c:pt>
                <c:pt idx="24">
                  <c:v>5.3 数据通路的功能和基本结构</c:v>
                </c:pt>
                <c:pt idx="25">
                  <c:v>5.4 控制器的功能和工作原理</c:v>
                </c:pt>
                <c:pt idx="26">
                  <c:v>5.5 异常和中断机制</c:v>
                </c:pt>
                <c:pt idx="27">
                  <c:v>5.6 指令流水线</c:v>
                </c:pt>
                <c:pt idx="28">
                  <c:v>5.7 多处理器的基本概念</c:v>
                </c:pt>
                <c:pt idx="29">
                  <c:v>第6章 总线</c:v>
                </c:pt>
                <c:pt idx="30">
                  <c:v>6.1 总线概述</c:v>
                </c:pt>
                <c:pt idx="31">
                  <c:v>6.2 总线事务和定时</c:v>
                </c:pt>
                <c:pt idx="32">
                  <c:v>第7章 输入/输出系统</c:v>
                </c:pt>
                <c:pt idx="33">
                  <c:v>7.1 I/O系统基本概念</c:v>
                </c:pt>
                <c:pt idx="34">
                  <c:v>7.2 I/O接口</c:v>
                </c:pt>
                <c:pt idx="35">
                  <c:v>7.3 I/O方式</c:v>
                </c:pt>
              </c:strCache>
            </c:strRef>
          </c:cat>
          <c:val>
            <c:numRef>
              <c:f>王道计组!$E$3:$E$38</c:f>
              <c:numCache>
                <c:formatCode>General</c:formatCode>
                <c:ptCount val="36"/>
                <c:pt idx="0">
                  <c:v>0</c:v>
                </c:pt>
                <c:pt idx="2" formatCode="0.0%">
                  <c:v>1</c:v>
                </c:pt>
                <c:pt idx="3" formatCode="0.0%">
                  <c:v>0.9285714285714286</c:v>
                </c:pt>
                <c:pt idx="4" formatCode="0.0%">
                  <c:v>0.6</c:v>
                </c:pt>
                <c:pt idx="6" formatCode="0.0%">
                  <c:v>0.73529411764705888</c:v>
                </c:pt>
                <c:pt idx="7" formatCode="0.0%">
                  <c:v>0.7142857142857143</c:v>
                </c:pt>
                <c:pt idx="8" formatCode="0.0%">
                  <c:v>0.82222222222222219</c:v>
                </c:pt>
                <c:pt idx="10" formatCode="0.0%">
                  <c:v>0.90909090909090906</c:v>
                </c:pt>
                <c:pt idx="11" formatCode="0.0%">
                  <c:v>0.81081081081081086</c:v>
                </c:pt>
                <c:pt idx="12" formatCode="0.0%">
                  <c:v>0.73333333333333328</c:v>
                </c:pt>
                <c:pt idx="13" formatCode="0.0%">
                  <c:v>0.75</c:v>
                </c:pt>
                <c:pt idx="14" formatCode="0.0%">
                  <c:v>0.62857142857142856</c:v>
                </c:pt>
                <c:pt idx="15" formatCode="0.0%">
                  <c:v>0.6</c:v>
                </c:pt>
                <c:pt idx="17" formatCode="0.0%">
                  <c:v>0.75</c:v>
                </c:pt>
                <c:pt idx="18" formatCode="0.0%">
                  <c:v>0.75757575757575757</c:v>
                </c:pt>
                <c:pt idx="19" formatCode="0.0%">
                  <c:v>0</c:v>
                </c:pt>
                <c:pt idx="20" formatCode="0.0%">
                  <c:v>1</c:v>
                </c:pt>
                <c:pt idx="22" formatCode="0.0%">
                  <c:v>0.625</c:v>
                </c:pt>
                <c:pt idx="23" formatCode="0.0%">
                  <c:v>0.72727272727272729</c:v>
                </c:pt>
                <c:pt idx="24" formatCode="0.0%">
                  <c:v>0.66666666666666663</c:v>
                </c:pt>
                <c:pt idx="25" formatCode="0.0%">
                  <c:v>0.81481481481481477</c:v>
                </c:pt>
                <c:pt idx="26" formatCode="0.0%">
                  <c:v>0.53846153846153844</c:v>
                </c:pt>
                <c:pt idx="27" formatCode="0.0%">
                  <c:v>0.93939393939393945</c:v>
                </c:pt>
                <c:pt idx="28" formatCode="0.0%">
                  <c:v>0.83333333333333337</c:v>
                </c:pt>
                <c:pt idx="30" formatCode="0.0%">
                  <c:v>0.8</c:v>
                </c:pt>
                <c:pt idx="31" formatCode="0.0%">
                  <c:v>0.8</c:v>
                </c:pt>
                <c:pt idx="33" formatCode="0.0%">
                  <c:v>1</c:v>
                </c:pt>
                <c:pt idx="34" formatCode="0.0%">
                  <c:v>0.58823529411764708</c:v>
                </c:pt>
                <c:pt idx="35" formatCode="0.0%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83-442F-BFFE-F8C07FBA5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计组 各小节正确率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t>数据结构 各小节正确率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王道数据结构!$E$2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王道数据结构!$A$3:$A$43</c:f>
              <c:strCache>
                <c:ptCount val="41"/>
                <c:pt idx="0">
                  <c:v>小节</c:v>
                </c:pt>
                <c:pt idx="1">
                  <c:v>第1章 绪论</c:v>
                </c:pt>
                <c:pt idx="2">
                  <c:v>1.1 数据结构的基本概念</c:v>
                </c:pt>
                <c:pt idx="3">
                  <c:v>1.2 算法和算法评价</c:v>
                </c:pt>
                <c:pt idx="4">
                  <c:v>第2章 线性表</c:v>
                </c:pt>
                <c:pt idx="5">
                  <c:v>2.1 线性表的定义和基本操作</c:v>
                </c:pt>
                <c:pt idx="6">
                  <c:v>2.2 线性表的顺序表示</c:v>
                </c:pt>
                <c:pt idx="7">
                  <c:v>2.3 线性表的链式表示</c:v>
                </c:pt>
                <c:pt idx="8">
                  <c:v>第3章 栈、队列和数组</c:v>
                </c:pt>
                <c:pt idx="9">
                  <c:v>3.1 栈</c:v>
                </c:pt>
                <c:pt idx="10">
                  <c:v>3.2 队列</c:v>
                </c:pt>
                <c:pt idx="11">
                  <c:v>3.3 栈和队列的应用</c:v>
                </c:pt>
                <c:pt idx="12">
                  <c:v>3.4 数组和特殊矩阵</c:v>
                </c:pt>
                <c:pt idx="13">
                  <c:v>第4章 串</c:v>
                </c:pt>
                <c:pt idx="14">
                  <c:v>4.1 串的定义和实现</c:v>
                </c:pt>
                <c:pt idx="15">
                  <c:v>4.2 串的模式匹配</c:v>
                </c:pt>
                <c:pt idx="16">
                  <c:v>第5章 树与二叉树</c:v>
                </c:pt>
                <c:pt idx="17">
                  <c:v>5.1 树的基本概念</c:v>
                </c:pt>
                <c:pt idx="18">
                  <c:v>5.2 二叉树的概念</c:v>
                </c:pt>
                <c:pt idx="19">
                  <c:v>5.3 二叉树的遍历和线索二叉树</c:v>
                </c:pt>
                <c:pt idx="20">
                  <c:v>5.4 树、森林</c:v>
                </c:pt>
                <c:pt idx="21">
                  <c:v>5.5 树与二叉树的应用</c:v>
                </c:pt>
                <c:pt idx="22">
                  <c:v>第6章 图</c:v>
                </c:pt>
                <c:pt idx="23">
                  <c:v>6.1 图的基本概念</c:v>
                </c:pt>
                <c:pt idx="24">
                  <c:v>6.2 图的存储及基本操作</c:v>
                </c:pt>
                <c:pt idx="25">
                  <c:v>6.3 图的遍历</c:v>
                </c:pt>
                <c:pt idx="26">
                  <c:v>6.4 图的应用</c:v>
                </c:pt>
                <c:pt idx="27">
                  <c:v>第7章 查找</c:v>
                </c:pt>
                <c:pt idx="28">
                  <c:v>7.1 查找的基本概念</c:v>
                </c:pt>
                <c:pt idx="29">
                  <c:v>7.2 顺序查找和折半查找</c:v>
                </c:pt>
                <c:pt idx="30">
                  <c:v>7.3 树形查找</c:v>
                </c:pt>
                <c:pt idx="31">
                  <c:v>7.4 B树和B+树</c:v>
                </c:pt>
                <c:pt idx="32">
                  <c:v>7.5 散列(Hash)表</c:v>
                </c:pt>
                <c:pt idx="33">
                  <c:v>第8章 排序</c:v>
                </c:pt>
                <c:pt idx="34">
                  <c:v>8.1 排序的基本概念</c:v>
                </c:pt>
                <c:pt idx="35">
                  <c:v>8.2 插入排序</c:v>
                </c:pt>
                <c:pt idx="36">
                  <c:v>8.3 交换排序</c:v>
                </c:pt>
                <c:pt idx="37">
                  <c:v>8.4 选择排序</c:v>
                </c:pt>
                <c:pt idx="38">
                  <c:v>8.5 归并排序、基数排序和计数排序</c:v>
                </c:pt>
                <c:pt idx="39">
                  <c:v>8.6 各种内部排序算法的比较及应用</c:v>
                </c:pt>
                <c:pt idx="40">
                  <c:v>8.7 外部排序</c:v>
                </c:pt>
              </c:strCache>
            </c:strRef>
          </c:cat>
          <c:val>
            <c:numRef>
              <c:f>王道数据结构!$E$3:$E$43</c:f>
              <c:numCache>
                <c:formatCode>General</c:formatCode>
                <c:ptCount val="41"/>
                <c:pt idx="0">
                  <c:v>0</c:v>
                </c:pt>
                <c:pt idx="2" formatCode="0.0%">
                  <c:v>0</c:v>
                </c:pt>
                <c:pt idx="3" formatCode="0.0%">
                  <c:v>0</c:v>
                </c:pt>
                <c:pt idx="5" formatCode="0.0%">
                  <c:v>0</c:v>
                </c:pt>
                <c:pt idx="6" formatCode="0.0%">
                  <c:v>0</c:v>
                </c:pt>
                <c:pt idx="7" formatCode="0.0%">
                  <c:v>0</c:v>
                </c:pt>
                <c:pt idx="9" formatCode="0.0%">
                  <c:v>0</c:v>
                </c:pt>
                <c:pt idx="10" formatCode="0.0%">
                  <c:v>0</c:v>
                </c:pt>
                <c:pt idx="11" formatCode="0.0%">
                  <c:v>0</c:v>
                </c:pt>
                <c:pt idx="12" formatCode="0.0%">
                  <c:v>0</c:v>
                </c:pt>
                <c:pt idx="14" formatCode="0.0%">
                  <c:v>0</c:v>
                </c:pt>
                <c:pt idx="15" formatCode="0.0%">
                  <c:v>0</c:v>
                </c:pt>
                <c:pt idx="17" formatCode="0.0%">
                  <c:v>0</c:v>
                </c:pt>
                <c:pt idx="18" formatCode="0.0%">
                  <c:v>0</c:v>
                </c:pt>
                <c:pt idx="19" formatCode="0.0%">
                  <c:v>0</c:v>
                </c:pt>
                <c:pt idx="20" formatCode="0.0%">
                  <c:v>0</c:v>
                </c:pt>
                <c:pt idx="21" formatCode="0.0%">
                  <c:v>0</c:v>
                </c:pt>
                <c:pt idx="23" formatCode="0.0%">
                  <c:v>0</c:v>
                </c:pt>
                <c:pt idx="24" formatCode="0.0%">
                  <c:v>0</c:v>
                </c:pt>
                <c:pt idx="25" formatCode="0.0%">
                  <c:v>0</c:v>
                </c:pt>
                <c:pt idx="26" formatCode="0.0%">
                  <c:v>0</c:v>
                </c:pt>
                <c:pt idx="28" formatCode="0.0%">
                  <c:v>0</c:v>
                </c:pt>
                <c:pt idx="29" formatCode="0.0%">
                  <c:v>0</c:v>
                </c:pt>
                <c:pt idx="30" formatCode="0.0%">
                  <c:v>0</c:v>
                </c:pt>
                <c:pt idx="31" formatCode="0.0%">
                  <c:v>0</c:v>
                </c:pt>
                <c:pt idx="32" formatCode="0.0%">
                  <c:v>0</c:v>
                </c:pt>
                <c:pt idx="34" formatCode="0.0%">
                  <c:v>0</c:v>
                </c:pt>
                <c:pt idx="35" formatCode="0.0%">
                  <c:v>0</c:v>
                </c:pt>
                <c:pt idx="36" formatCode="0.0%">
                  <c:v>0</c:v>
                </c:pt>
                <c:pt idx="37" formatCode="0.0%">
                  <c:v>0</c:v>
                </c:pt>
                <c:pt idx="38" formatCode="0.0%">
                  <c:v>0</c:v>
                </c:pt>
                <c:pt idx="39" formatCode="0.0%">
                  <c:v>0</c:v>
                </c:pt>
                <c:pt idx="40" formatCode="0.0%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E7-408E-B524-0EE54C9D8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数据结构 各小节正确率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t>计网 各小节正确率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王道计网!$E$2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王道计网!$A$3:$A$37</c:f>
              <c:strCache>
                <c:ptCount val="35"/>
                <c:pt idx="0">
                  <c:v>小节</c:v>
                </c:pt>
                <c:pt idx="1">
                  <c:v>第1章 计算机网络体系结构</c:v>
                </c:pt>
                <c:pt idx="2">
                  <c:v>1.1 计算机网络概述</c:v>
                </c:pt>
                <c:pt idx="3">
                  <c:v>1.2 计算机网络体系结构与参考模型</c:v>
                </c:pt>
                <c:pt idx="4">
                  <c:v>第2章 物理层</c:v>
                </c:pt>
                <c:pt idx="5">
                  <c:v>2.1 通信基础</c:v>
                </c:pt>
                <c:pt idx="6">
                  <c:v>2.2 传输介质</c:v>
                </c:pt>
                <c:pt idx="7">
                  <c:v>2.3 物理层设备</c:v>
                </c:pt>
                <c:pt idx="8">
                  <c:v>第3章 数据链路层</c:v>
                </c:pt>
                <c:pt idx="9">
                  <c:v>3.1 数据链路层的功能</c:v>
                </c:pt>
                <c:pt idx="10">
                  <c:v>3.2 组帧</c:v>
                </c:pt>
                <c:pt idx="11">
                  <c:v>3.3 差错控制</c:v>
                </c:pt>
                <c:pt idx="12">
                  <c:v>3.4 流量控制与可靠传输机制</c:v>
                </c:pt>
                <c:pt idx="13">
                  <c:v>3.5 介质访问控制</c:v>
                </c:pt>
                <c:pt idx="14">
                  <c:v>3.6 局域网</c:v>
                </c:pt>
                <c:pt idx="15">
                  <c:v>3.7 广域网</c:v>
                </c:pt>
                <c:pt idx="16">
                  <c:v>3.8 数据链路层设备</c:v>
                </c:pt>
                <c:pt idx="17">
                  <c:v>第4章 网络层</c:v>
                </c:pt>
                <c:pt idx="18">
                  <c:v>4.1 网络层的功能</c:v>
                </c:pt>
                <c:pt idx="19">
                  <c:v>4.2 IPv4</c:v>
                </c:pt>
                <c:pt idx="20">
                  <c:v>4.3 IPv6</c:v>
                </c:pt>
                <c:pt idx="21">
                  <c:v>4.4 路由算法与路由协议</c:v>
                </c:pt>
                <c:pt idx="22">
                  <c:v>4.5 IP多播</c:v>
                </c:pt>
                <c:pt idx="23">
                  <c:v>4.6 移动IP</c:v>
                </c:pt>
                <c:pt idx="24">
                  <c:v>4.7 网络层设备</c:v>
                </c:pt>
                <c:pt idx="25">
                  <c:v>第5章 传输层</c:v>
                </c:pt>
                <c:pt idx="26">
                  <c:v>5.1 传输层提供的服务</c:v>
                </c:pt>
                <c:pt idx="27">
                  <c:v>5.2 UDP</c:v>
                </c:pt>
                <c:pt idx="28">
                  <c:v>5.3 TCP</c:v>
                </c:pt>
                <c:pt idx="29">
                  <c:v>第6章 应用层</c:v>
                </c:pt>
                <c:pt idx="30">
                  <c:v>6.1 网络应用模型</c:v>
                </c:pt>
                <c:pt idx="31">
                  <c:v>6.2 域名系统</c:v>
                </c:pt>
                <c:pt idx="32">
                  <c:v>6.3 文件传输协议</c:v>
                </c:pt>
                <c:pt idx="33">
                  <c:v>6.4 电子邮件</c:v>
                </c:pt>
                <c:pt idx="34">
                  <c:v>6.5 万维网</c:v>
                </c:pt>
              </c:strCache>
            </c:strRef>
          </c:cat>
          <c:val>
            <c:numRef>
              <c:f>王道计网!$E$3:$E$37</c:f>
              <c:numCache>
                <c:formatCode>General</c:formatCode>
                <c:ptCount val="35"/>
                <c:pt idx="0">
                  <c:v>0</c:v>
                </c:pt>
                <c:pt idx="2" formatCode="0.0%">
                  <c:v>0</c:v>
                </c:pt>
                <c:pt idx="3" formatCode="0.0%">
                  <c:v>0</c:v>
                </c:pt>
                <c:pt idx="5" formatCode="0.0%">
                  <c:v>0</c:v>
                </c:pt>
                <c:pt idx="6" formatCode="0.0%">
                  <c:v>0</c:v>
                </c:pt>
                <c:pt idx="7" formatCode="0.0%">
                  <c:v>0</c:v>
                </c:pt>
                <c:pt idx="9" formatCode="0.0%">
                  <c:v>0</c:v>
                </c:pt>
                <c:pt idx="10" formatCode="0.0%">
                  <c:v>0</c:v>
                </c:pt>
                <c:pt idx="11" formatCode="0.0%">
                  <c:v>0</c:v>
                </c:pt>
                <c:pt idx="12" formatCode="0.0%">
                  <c:v>0</c:v>
                </c:pt>
                <c:pt idx="13" formatCode="0.0%">
                  <c:v>0</c:v>
                </c:pt>
                <c:pt idx="14" formatCode="0.0%">
                  <c:v>0</c:v>
                </c:pt>
                <c:pt idx="15" formatCode="0.0%">
                  <c:v>0</c:v>
                </c:pt>
                <c:pt idx="16" formatCode="0.0%">
                  <c:v>0</c:v>
                </c:pt>
                <c:pt idx="18" formatCode="0.0%">
                  <c:v>0</c:v>
                </c:pt>
                <c:pt idx="19" formatCode="0.0%">
                  <c:v>0</c:v>
                </c:pt>
                <c:pt idx="20" formatCode="0.0%">
                  <c:v>0</c:v>
                </c:pt>
                <c:pt idx="21" formatCode="0.0%">
                  <c:v>0</c:v>
                </c:pt>
                <c:pt idx="22" formatCode="0.0%">
                  <c:v>0</c:v>
                </c:pt>
                <c:pt idx="23" formatCode="0.0%">
                  <c:v>0</c:v>
                </c:pt>
                <c:pt idx="24" formatCode="0.0%">
                  <c:v>0</c:v>
                </c:pt>
                <c:pt idx="26" formatCode="0.0%">
                  <c:v>0</c:v>
                </c:pt>
                <c:pt idx="27" formatCode="0.0%">
                  <c:v>0</c:v>
                </c:pt>
                <c:pt idx="28" formatCode="0.0%">
                  <c:v>0</c:v>
                </c:pt>
                <c:pt idx="30" formatCode="0.0%">
                  <c:v>0</c:v>
                </c:pt>
                <c:pt idx="31" formatCode="0.0%">
                  <c:v>0</c:v>
                </c:pt>
                <c:pt idx="32" formatCode="0.0%">
                  <c:v>0</c:v>
                </c:pt>
                <c:pt idx="33" formatCode="0.0%">
                  <c:v>0</c:v>
                </c:pt>
                <c:pt idx="34" formatCode="0.0%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1E-4FE6-978F-9DCEE41A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计网 各小节正确率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24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38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104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47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864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opLeftCell="A40" workbookViewId="0">
      <selection sqref="A1:E1"/>
    </sheetView>
  </sheetViews>
  <sheetFormatPr defaultRowHeight="14" x14ac:dyDescent="0.25"/>
  <cols>
    <col min="1" max="1" width="24" customWidth="1"/>
    <col min="2" max="5" width="16" customWidth="1"/>
    <col min="6" max="6" width="14" customWidth="1"/>
  </cols>
  <sheetData>
    <row r="1" spans="1:6" ht="42" customHeight="1" x14ac:dyDescent="0.25">
      <c r="A1" s="29" t="s">
        <v>0</v>
      </c>
      <c r="B1" s="30"/>
      <c r="C1" s="30"/>
      <c r="D1" s="30"/>
      <c r="E1" s="30"/>
      <c r="F1" s="31"/>
    </row>
    <row r="2" spans="1:6" ht="8" customHeight="1" x14ac:dyDescent="0.25"/>
    <row r="3" spans="1:6" ht="26" customHeight="1" x14ac:dyDescent="0.25">
      <c r="A3" s="17" t="s">
        <v>1</v>
      </c>
      <c r="B3" s="17" t="s">
        <v>2</v>
      </c>
      <c r="C3" s="17" t="s">
        <v>3</v>
      </c>
      <c r="D3" s="17" t="s">
        <v>4</v>
      </c>
      <c r="E3" s="17" t="s">
        <v>5</v>
      </c>
      <c r="F3" s="17" t="s">
        <v>6</v>
      </c>
    </row>
    <row r="4" spans="1:6" ht="26" customHeight="1" x14ac:dyDescent="0.25">
      <c r="A4" s="18" t="s">
        <v>7</v>
      </c>
      <c r="B4" s="19">
        <f>SUMPRODUCT((张宇1000题!C6:C99&gt;0)*1)</f>
        <v>15</v>
      </c>
      <c r="C4" s="19">
        <f>张宇1000题!C99</f>
        <v>204</v>
      </c>
      <c r="D4" s="19">
        <f>张宇1000题!D99</f>
        <v>168</v>
      </c>
      <c r="E4" s="20">
        <f>张宇1000题!E99</f>
        <v>0.82352941176470584</v>
      </c>
      <c r="F4" s="20">
        <f>IF(B4&gt;0, B4/75, "")</f>
        <v>0.2</v>
      </c>
    </row>
    <row r="5" spans="1:6" ht="26" customHeight="1" x14ac:dyDescent="0.25">
      <c r="A5" s="21" t="s">
        <v>8</v>
      </c>
      <c r="B5" s="22">
        <f>SUMPRODUCT((王道操作系统!C5:C28&gt;0)*1)</f>
        <v>9</v>
      </c>
      <c r="C5" s="22">
        <f>王道操作系统!C28</f>
        <v>317</v>
      </c>
      <c r="D5" s="22">
        <f>王道操作系统!D28</f>
        <v>246</v>
      </c>
      <c r="E5" s="23">
        <f>王道操作系统!E28</f>
        <v>0.77602523659305989</v>
      </c>
      <c r="F5" s="23">
        <f>IF(B5&gt;0, B5/19, "")</f>
        <v>0.47368421052631576</v>
      </c>
    </row>
    <row r="6" spans="1:6" ht="26" customHeight="1" x14ac:dyDescent="0.25">
      <c r="A6" s="18" t="s">
        <v>9</v>
      </c>
      <c r="B6" s="19">
        <f>SUMPRODUCT((王道计组!C5:C40&gt;0)*1)</f>
        <v>28</v>
      </c>
      <c r="C6" s="19">
        <f>王道计组!C40</f>
        <v>593</v>
      </c>
      <c r="D6" s="19">
        <f>王道计组!D40</f>
        <v>438</v>
      </c>
      <c r="E6" s="20">
        <f>王道计组!E40</f>
        <v>0.73861720067453629</v>
      </c>
      <c r="F6" s="20">
        <f>IF(B6&gt;0, B6/29, "")</f>
        <v>0.96551724137931039</v>
      </c>
    </row>
    <row r="7" spans="1:6" ht="26" customHeight="1" x14ac:dyDescent="0.25">
      <c r="A7" s="21" t="s">
        <v>10</v>
      </c>
      <c r="B7" s="22">
        <f>SUMPRODUCT((王道数据结构!C5:C45&gt;0)*1)</f>
        <v>0</v>
      </c>
      <c r="C7" s="22">
        <f>王道数据结构!C45</f>
        <v>0</v>
      </c>
      <c r="D7" s="22">
        <f>王道数据结构!D45</f>
        <v>0</v>
      </c>
      <c r="E7" s="23" t="e">
        <f>王道数据结构!E45</f>
        <v>#DIV/0!</v>
      </c>
      <c r="F7" s="23" t="str">
        <f>IF(B7&gt;0, B7/33, "")</f>
        <v/>
      </c>
    </row>
    <row r="8" spans="1:6" ht="26" customHeight="1" x14ac:dyDescent="0.25">
      <c r="A8" s="18" t="s">
        <v>11</v>
      </c>
      <c r="B8" s="19">
        <f>SUMPRODUCT((王道计网!C5:C39&gt;0)*1)</f>
        <v>0</v>
      </c>
      <c r="C8" s="19">
        <f>王道计网!C39</f>
        <v>0</v>
      </c>
      <c r="D8" s="19">
        <f>王道计网!D39</f>
        <v>0</v>
      </c>
      <c r="E8" s="20" t="e">
        <f>王道计网!E39</f>
        <v>#DIV/0!</v>
      </c>
      <c r="F8" s="20" t="str">
        <f>IF(B8&gt;0, B8/29, "")</f>
        <v/>
      </c>
    </row>
    <row r="9" spans="1:6" ht="28" customHeight="1" x14ac:dyDescent="0.25">
      <c r="A9" s="32" t="s">
        <v>12</v>
      </c>
      <c r="B9" s="24">
        <f>SUM(B4:B8)</f>
        <v>52</v>
      </c>
      <c r="C9" s="24">
        <f>SUM(C4:C8)</f>
        <v>1114</v>
      </c>
      <c r="D9" s="24">
        <f>SUM(D4:D8)</f>
        <v>852</v>
      </c>
      <c r="E9" s="25" t="e">
        <f>SUM(E4:E8)</f>
        <v>#DIV/0!</v>
      </c>
      <c r="F9" s="25">
        <f>SUM(F4:F8)</f>
        <v>1.6392014519056262</v>
      </c>
    </row>
  </sheetData>
  <mergeCells count="2">
    <mergeCell ref="A1:F1"/>
    <mergeCell ref="A9"/>
  </mergeCells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3"/>
  <sheetViews>
    <sheetView tabSelected="1" workbookViewId="0">
      <pane ySplit="3" topLeftCell="A90" activePane="bottomLeft" state="frozen"/>
      <selection sqref="A1:E1"/>
      <selection pane="bottomLeft" sqref="A1:E1"/>
    </sheetView>
  </sheetViews>
  <sheetFormatPr defaultRowHeight="14" x14ac:dyDescent="0.25"/>
  <cols>
    <col min="1" max="1" width="48" customWidth="1"/>
    <col min="2" max="2" width="14" customWidth="1"/>
    <col min="3" max="4" width="12" customWidth="1"/>
    <col min="5" max="5" width="14" customWidth="1"/>
    <col min="7" max="8" width="13" hidden="1" customWidth="1"/>
  </cols>
  <sheetData>
    <row r="1" spans="1:8" ht="38" customHeight="1" x14ac:dyDescent="0.35">
      <c r="A1" s="37" t="s">
        <v>13</v>
      </c>
      <c r="B1" s="34"/>
      <c r="C1" s="34"/>
      <c r="D1" s="34"/>
      <c r="E1" s="35"/>
      <c r="G1" s="26" t="s">
        <v>14</v>
      </c>
      <c r="H1" s="26" t="s">
        <v>5</v>
      </c>
    </row>
    <row r="2" spans="1:8" ht="6" customHeight="1" x14ac:dyDescent="0.4">
      <c r="A2" s="1"/>
      <c r="B2" s="1"/>
      <c r="C2" s="1"/>
      <c r="D2" s="1"/>
      <c r="E2" s="1"/>
      <c r="G2" s="27" t="s">
        <v>15</v>
      </c>
      <c r="H2" s="28">
        <f>E40</f>
        <v>0.82352941176470584</v>
      </c>
    </row>
    <row r="3" spans="1:8" ht="28" customHeight="1" x14ac:dyDescent="0.4">
      <c r="A3" s="36" t="s">
        <v>16</v>
      </c>
      <c r="B3" s="34"/>
      <c r="C3" s="34"/>
      <c r="D3" s="34"/>
      <c r="E3" s="35"/>
      <c r="G3" s="27" t="s">
        <v>17</v>
      </c>
      <c r="H3" s="28" t="e">
        <f>E64</f>
        <v>#DIV/0!</v>
      </c>
    </row>
    <row r="4" spans="1:8" ht="24" customHeight="1" x14ac:dyDescent="0.4">
      <c r="A4" s="2" t="s">
        <v>18</v>
      </c>
      <c r="B4" s="2" t="s">
        <v>19</v>
      </c>
      <c r="C4" s="2" t="s">
        <v>20</v>
      </c>
      <c r="D4" s="2" t="s">
        <v>4</v>
      </c>
      <c r="E4" s="2" t="s">
        <v>5</v>
      </c>
      <c r="G4" s="27" t="s">
        <v>21</v>
      </c>
      <c r="H4" s="28" t="e">
        <f>E94</f>
        <v>#DIV/0!</v>
      </c>
    </row>
    <row r="5" spans="1:8" ht="22" customHeight="1" x14ac:dyDescent="0.25">
      <c r="A5" s="33" t="s">
        <v>22</v>
      </c>
      <c r="B5" s="34"/>
      <c r="C5" s="34"/>
      <c r="D5" s="34"/>
      <c r="E5" s="35"/>
    </row>
    <row r="6" spans="1:8" ht="21" customHeight="1" x14ac:dyDescent="0.25">
      <c r="A6" s="3" t="s">
        <v>23</v>
      </c>
      <c r="B6" s="4"/>
      <c r="C6" s="4">
        <v>10</v>
      </c>
      <c r="D6" s="4">
        <v>10</v>
      </c>
      <c r="E6" s="5">
        <f t="shared" ref="E6:E24" si="0">IF(AND(C6&lt;&gt;"",D6&lt;&gt;""),D6/C6,"")</f>
        <v>1</v>
      </c>
    </row>
    <row r="7" spans="1:8" ht="21" customHeight="1" x14ac:dyDescent="0.25">
      <c r="A7" s="3" t="s">
        <v>24</v>
      </c>
      <c r="B7" s="4"/>
      <c r="C7" s="4">
        <v>23</v>
      </c>
      <c r="D7" s="4">
        <v>20</v>
      </c>
      <c r="E7" s="5">
        <f t="shared" si="0"/>
        <v>0.86956521739130432</v>
      </c>
    </row>
    <row r="8" spans="1:8" ht="21" customHeight="1" x14ac:dyDescent="0.25">
      <c r="A8" s="3" t="s">
        <v>25</v>
      </c>
      <c r="B8" s="4"/>
      <c r="C8" s="4">
        <v>12</v>
      </c>
      <c r="D8" s="4">
        <v>11</v>
      </c>
      <c r="E8" s="5">
        <f t="shared" si="0"/>
        <v>0.91666666666666663</v>
      </c>
    </row>
    <row r="9" spans="1:8" ht="21" customHeight="1" x14ac:dyDescent="0.25">
      <c r="A9" s="3" t="s">
        <v>26</v>
      </c>
      <c r="B9" s="4"/>
      <c r="C9" s="4">
        <v>15</v>
      </c>
      <c r="D9" s="4">
        <v>12</v>
      </c>
      <c r="E9" s="5">
        <f t="shared" si="0"/>
        <v>0.8</v>
      </c>
    </row>
    <row r="10" spans="1:8" ht="21" customHeight="1" x14ac:dyDescent="0.25">
      <c r="A10" s="3" t="s">
        <v>27</v>
      </c>
      <c r="B10" s="4"/>
      <c r="C10" s="4">
        <v>18</v>
      </c>
      <c r="D10" s="4">
        <v>15</v>
      </c>
      <c r="E10" s="5">
        <f t="shared" si="0"/>
        <v>0.83333333333333337</v>
      </c>
    </row>
    <row r="11" spans="1:8" ht="21" customHeight="1" x14ac:dyDescent="0.25">
      <c r="A11" s="3" t="s">
        <v>28</v>
      </c>
      <c r="B11" s="4"/>
      <c r="C11" s="4">
        <v>24</v>
      </c>
      <c r="D11" s="4">
        <v>18</v>
      </c>
      <c r="E11" s="5">
        <f t="shared" si="0"/>
        <v>0.75</v>
      </c>
    </row>
    <row r="12" spans="1:8" ht="21" customHeight="1" x14ac:dyDescent="0.25">
      <c r="A12" s="3" t="s">
        <v>29</v>
      </c>
      <c r="B12" s="4"/>
      <c r="C12" s="4">
        <v>22</v>
      </c>
      <c r="D12" s="4">
        <v>20</v>
      </c>
      <c r="E12" s="5">
        <f t="shared" si="0"/>
        <v>0.90909090909090906</v>
      </c>
    </row>
    <row r="13" spans="1:8" ht="21" customHeight="1" x14ac:dyDescent="0.25">
      <c r="A13" s="3" t="s">
        <v>30</v>
      </c>
      <c r="B13" s="4"/>
      <c r="C13" s="4"/>
      <c r="D13" s="4"/>
      <c r="E13" s="5" t="str">
        <f t="shared" si="0"/>
        <v/>
      </c>
    </row>
    <row r="14" spans="1:8" ht="21" customHeight="1" x14ac:dyDescent="0.25">
      <c r="A14" s="3" t="s">
        <v>31</v>
      </c>
      <c r="B14" s="4"/>
      <c r="C14" s="4">
        <v>25</v>
      </c>
      <c r="D14" s="4">
        <v>24</v>
      </c>
      <c r="E14" s="5">
        <f t="shared" si="0"/>
        <v>0.96</v>
      </c>
    </row>
    <row r="15" spans="1:8" ht="21" customHeight="1" x14ac:dyDescent="0.25">
      <c r="A15" s="3" t="s">
        <v>32</v>
      </c>
      <c r="B15" s="4"/>
      <c r="C15" s="4">
        <v>36</v>
      </c>
      <c r="D15" s="4">
        <v>28</v>
      </c>
      <c r="E15" s="5">
        <f t="shared" si="0"/>
        <v>0.77777777777777779</v>
      </c>
    </row>
    <row r="16" spans="1:8" ht="21" customHeight="1" x14ac:dyDescent="0.25">
      <c r="A16" s="3" t="s">
        <v>33</v>
      </c>
      <c r="B16" s="4"/>
      <c r="C16" s="4">
        <v>19</v>
      </c>
      <c r="D16" s="4">
        <v>10</v>
      </c>
      <c r="E16" s="5">
        <f t="shared" si="0"/>
        <v>0.52631578947368418</v>
      </c>
    </row>
    <row r="17" spans="1:5" ht="21" customHeight="1" x14ac:dyDescent="0.25">
      <c r="A17" s="3" t="s">
        <v>34</v>
      </c>
      <c r="B17" s="4"/>
      <c r="C17" s="4"/>
      <c r="D17" s="4"/>
      <c r="E17" s="5" t="str">
        <f t="shared" si="0"/>
        <v/>
      </c>
    </row>
    <row r="18" spans="1:5" ht="21" customHeight="1" x14ac:dyDescent="0.25">
      <c r="A18" s="3" t="s">
        <v>35</v>
      </c>
      <c r="B18" s="4"/>
      <c r="C18" s="4"/>
      <c r="D18" s="4"/>
      <c r="E18" s="5" t="str">
        <f t="shared" si="0"/>
        <v/>
      </c>
    </row>
    <row r="19" spans="1:5" ht="21" customHeight="1" x14ac:dyDescent="0.25">
      <c r="A19" s="3" t="s">
        <v>36</v>
      </c>
      <c r="B19" s="4"/>
      <c r="C19" s="4"/>
      <c r="D19" s="4"/>
      <c r="E19" s="5" t="str">
        <f t="shared" si="0"/>
        <v/>
      </c>
    </row>
    <row r="20" spans="1:5" ht="21" customHeight="1" x14ac:dyDescent="0.25">
      <c r="A20" s="3" t="s">
        <v>37</v>
      </c>
      <c r="B20" s="4"/>
      <c r="C20" s="4"/>
      <c r="D20" s="4"/>
      <c r="E20" s="5" t="str">
        <f t="shared" si="0"/>
        <v/>
      </c>
    </row>
    <row r="21" spans="1:5" ht="21" customHeight="1" x14ac:dyDescent="0.25">
      <c r="A21" s="3" t="s">
        <v>38</v>
      </c>
      <c r="B21" s="4"/>
      <c r="C21" s="4"/>
      <c r="D21" s="4"/>
      <c r="E21" s="5" t="str">
        <f t="shared" si="0"/>
        <v/>
      </c>
    </row>
    <row r="22" spans="1:5" ht="21" customHeight="1" x14ac:dyDescent="0.25">
      <c r="A22" s="3" t="s">
        <v>39</v>
      </c>
      <c r="B22" s="4"/>
      <c r="C22" s="4"/>
      <c r="D22" s="4"/>
      <c r="E22" s="5" t="str">
        <f t="shared" si="0"/>
        <v/>
      </c>
    </row>
    <row r="23" spans="1:5" ht="21" customHeight="1" x14ac:dyDescent="0.25">
      <c r="A23" s="3" t="s">
        <v>40</v>
      </c>
      <c r="B23" s="4"/>
      <c r="C23" s="4"/>
      <c r="D23" s="4"/>
      <c r="E23" s="5" t="str">
        <f t="shared" si="0"/>
        <v/>
      </c>
    </row>
    <row r="24" spans="1:5" ht="21" customHeight="1" x14ac:dyDescent="0.25">
      <c r="A24" s="3" t="s">
        <v>41</v>
      </c>
      <c r="B24" s="4"/>
      <c r="C24" s="4"/>
      <c r="D24" s="4"/>
      <c r="E24" s="5" t="str">
        <f t="shared" si="0"/>
        <v/>
      </c>
    </row>
    <row r="25" spans="1:5" ht="22" customHeight="1" x14ac:dyDescent="0.25">
      <c r="A25" s="33" t="s">
        <v>42</v>
      </c>
      <c r="B25" s="34"/>
      <c r="C25" s="34"/>
      <c r="D25" s="34"/>
      <c r="E25" s="35"/>
    </row>
    <row r="26" spans="1:5" ht="21" customHeight="1" x14ac:dyDescent="0.25">
      <c r="A26" s="3" t="s">
        <v>43</v>
      </c>
      <c r="B26" s="4"/>
      <c r="C26" s="4"/>
      <c r="D26" s="4"/>
      <c r="E26" s="5" t="str">
        <f t="shared" ref="E26:E31" si="1">IF(AND(C26&lt;&gt;"",D26&lt;&gt;""),D26/C26,"")</f>
        <v/>
      </c>
    </row>
    <row r="27" spans="1:5" ht="21" customHeight="1" x14ac:dyDescent="0.25">
      <c r="A27" s="3" t="s">
        <v>44</v>
      </c>
      <c r="B27" s="4"/>
      <c r="C27" s="4"/>
      <c r="D27" s="4"/>
      <c r="E27" s="5" t="str">
        <f t="shared" si="1"/>
        <v/>
      </c>
    </row>
    <row r="28" spans="1:5" ht="21" customHeight="1" x14ac:dyDescent="0.25">
      <c r="A28" s="3" t="s">
        <v>45</v>
      </c>
      <c r="B28" s="4"/>
      <c r="C28" s="4"/>
      <c r="D28" s="4"/>
      <c r="E28" s="5" t="str">
        <f t="shared" si="1"/>
        <v/>
      </c>
    </row>
    <row r="29" spans="1:5" ht="21" customHeight="1" x14ac:dyDescent="0.25">
      <c r="A29" s="3" t="s">
        <v>46</v>
      </c>
      <c r="B29" s="4"/>
      <c r="C29" s="4"/>
      <c r="D29" s="4"/>
      <c r="E29" s="5" t="str">
        <f t="shared" si="1"/>
        <v/>
      </c>
    </row>
    <row r="30" spans="1:5" ht="21" customHeight="1" x14ac:dyDescent="0.25">
      <c r="A30" s="3" t="s">
        <v>47</v>
      </c>
      <c r="B30" s="4"/>
      <c r="C30" s="4"/>
      <c r="D30" s="4"/>
      <c r="E30" s="5" t="str">
        <f t="shared" si="1"/>
        <v/>
      </c>
    </row>
    <row r="31" spans="1:5" ht="21" customHeight="1" x14ac:dyDescent="0.25">
      <c r="A31" s="3" t="s">
        <v>48</v>
      </c>
      <c r="B31" s="4"/>
      <c r="C31" s="4"/>
      <c r="D31" s="4"/>
      <c r="E31" s="5" t="str">
        <f t="shared" si="1"/>
        <v/>
      </c>
    </row>
    <row r="32" spans="1:5" ht="22" customHeight="1" x14ac:dyDescent="0.25">
      <c r="A32" s="33" t="s">
        <v>49</v>
      </c>
      <c r="B32" s="34"/>
      <c r="C32" s="34"/>
      <c r="D32" s="34"/>
      <c r="E32" s="35"/>
    </row>
    <row r="33" spans="1:5" ht="21" customHeight="1" x14ac:dyDescent="0.25">
      <c r="A33" s="3" t="s">
        <v>50</v>
      </c>
      <c r="B33" s="4"/>
      <c r="C33" s="4"/>
      <c r="D33" s="4"/>
      <c r="E33" s="5" t="str">
        <f t="shared" ref="E33:E38" si="2">IF(AND(C33&lt;&gt;"",D33&lt;&gt;""),D33/C33,"")</f>
        <v/>
      </c>
    </row>
    <row r="34" spans="1:5" ht="21" customHeight="1" x14ac:dyDescent="0.25">
      <c r="A34" s="3" t="s">
        <v>51</v>
      </c>
      <c r="B34" s="4"/>
      <c r="C34" s="4"/>
      <c r="D34" s="4"/>
      <c r="E34" s="5" t="str">
        <f t="shared" si="2"/>
        <v/>
      </c>
    </row>
    <row r="35" spans="1:5" ht="21" customHeight="1" x14ac:dyDescent="0.25">
      <c r="A35" s="3" t="s">
        <v>52</v>
      </c>
      <c r="B35" s="4"/>
      <c r="C35" s="4"/>
      <c r="D35" s="4"/>
      <c r="E35" s="5" t="str">
        <f t="shared" si="2"/>
        <v/>
      </c>
    </row>
    <row r="36" spans="1:5" ht="21" customHeight="1" x14ac:dyDescent="0.25">
      <c r="A36" s="3" t="s">
        <v>53</v>
      </c>
      <c r="B36" s="4"/>
      <c r="C36" s="4"/>
      <c r="D36" s="4"/>
      <c r="E36" s="5" t="str">
        <f t="shared" si="2"/>
        <v/>
      </c>
    </row>
    <row r="37" spans="1:5" ht="21" customHeight="1" x14ac:dyDescent="0.25">
      <c r="A37" s="3" t="s">
        <v>54</v>
      </c>
      <c r="B37" s="4"/>
      <c r="C37" s="4"/>
      <c r="D37" s="4"/>
      <c r="E37" s="5" t="str">
        <f t="shared" si="2"/>
        <v/>
      </c>
    </row>
    <row r="38" spans="1:5" ht="21" customHeight="1" x14ac:dyDescent="0.25">
      <c r="A38" s="3" t="s">
        <v>55</v>
      </c>
      <c r="B38" s="4"/>
      <c r="C38" s="4"/>
      <c r="D38" s="4"/>
      <c r="E38" s="5" t="str">
        <f t="shared" si="2"/>
        <v/>
      </c>
    </row>
    <row r="39" spans="1:5" ht="6" customHeight="1" x14ac:dyDescent="0.25">
      <c r="A39" s="1"/>
      <c r="B39" s="1"/>
      <c r="C39" s="1"/>
      <c r="D39" s="1"/>
      <c r="E39" s="1"/>
    </row>
    <row r="40" spans="1:5" ht="24" customHeight="1" x14ac:dyDescent="0.25">
      <c r="A40" s="6" t="s">
        <v>56</v>
      </c>
      <c r="B40" s="6"/>
      <c r="C40" s="6">
        <f>SUM(C5:C38)</f>
        <v>204</v>
      </c>
      <c r="D40" s="6">
        <f>SUM(D5:D38)</f>
        <v>168</v>
      </c>
      <c r="E40" s="7">
        <f>IF(C40&lt;&gt;"",D40/C40,"")</f>
        <v>0.82352941176470584</v>
      </c>
    </row>
    <row r="41" spans="1:5" ht="10" customHeight="1" x14ac:dyDescent="0.25">
      <c r="A41" s="1"/>
      <c r="B41" s="1"/>
      <c r="C41" s="1"/>
      <c r="D41" s="1"/>
      <c r="E41" s="1"/>
    </row>
    <row r="42" spans="1:5" ht="28" customHeight="1" x14ac:dyDescent="0.25">
      <c r="A42" s="36" t="s">
        <v>57</v>
      </c>
      <c r="B42" s="34"/>
      <c r="C42" s="34"/>
      <c r="D42" s="34"/>
      <c r="E42" s="35"/>
    </row>
    <row r="43" spans="1:5" ht="24" customHeight="1" x14ac:dyDescent="0.25">
      <c r="A43" s="2" t="s">
        <v>18</v>
      </c>
      <c r="B43" s="2" t="s">
        <v>19</v>
      </c>
      <c r="C43" s="2" t="s">
        <v>20</v>
      </c>
      <c r="D43" s="2" t="s">
        <v>4</v>
      </c>
      <c r="E43" s="2" t="s">
        <v>5</v>
      </c>
    </row>
    <row r="44" spans="1:5" ht="22" customHeight="1" x14ac:dyDescent="0.25">
      <c r="A44" s="33" t="s">
        <v>22</v>
      </c>
      <c r="B44" s="34"/>
      <c r="C44" s="34"/>
      <c r="D44" s="34"/>
      <c r="E44" s="35"/>
    </row>
    <row r="45" spans="1:5" ht="21" customHeight="1" x14ac:dyDescent="0.25">
      <c r="A45" s="8" t="s">
        <v>24</v>
      </c>
      <c r="B45" s="9"/>
      <c r="C45" s="9"/>
      <c r="D45" s="9"/>
      <c r="E45" s="10" t="str">
        <f t="shared" ref="E45:E62" si="3">IF(AND(C45&lt;&gt;"",D45&lt;&gt;""),D45/C45,"")</f>
        <v/>
      </c>
    </row>
    <row r="46" spans="1:5" ht="21" customHeight="1" x14ac:dyDescent="0.25">
      <c r="A46" s="8" t="s">
        <v>25</v>
      </c>
      <c r="B46" s="9"/>
      <c r="C46" s="9"/>
      <c r="D46" s="9"/>
      <c r="E46" s="10" t="str">
        <f t="shared" si="3"/>
        <v/>
      </c>
    </row>
    <row r="47" spans="1:5" ht="21" customHeight="1" x14ac:dyDescent="0.25">
      <c r="A47" s="8" t="s">
        <v>26</v>
      </c>
      <c r="B47" s="9"/>
      <c r="C47" s="9"/>
      <c r="D47" s="9"/>
      <c r="E47" s="10" t="str">
        <f t="shared" si="3"/>
        <v/>
      </c>
    </row>
    <row r="48" spans="1:5" ht="21" customHeight="1" x14ac:dyDescent="0.25">
      <c r="A48" s="8" t="s">
        <v>27</v>
      </c>
      <c r="B48" s="9"/>
      <c r="C48" s="9"/>
      <c r="D48" s="9"/>
      <c r="E48" s="10" t="str">
        <f t="shared" si="3"/>
        <v/>
      </c>
    </row>
    <row r="49" spans="1:5" ht="21" customHeight="1" x14ac:dyDescent="0.25">
      <c r="A49" s="8" t="s">
        <v>28</v>
      </c>
      <c r="B49" s="9"/>
      <c r="C49" s="9"/>
      <c r="D49" s="9"/>
      <c r="E49" s="10" t="str">
        <f t="shared" si="3"/>
        <v/>
      </c>
    </row>
    <row r="50" spans="1:5" ht="21" customHeight="1" x14ac:dyDescent="0.25">
      <c r="A50" s="8" t="s">
        <v>29</v>
      </c>
      <c r="B50" s="9"/>
      <c r="C50" s="9"/>
      <c r="D50" s="9"/>
      <c r="E50" s="10" t="str">
        <f t="shared" si="3"/>
        <v/>
      </c>
    </row>
    <row r="51" spans="1:5" ht="21" customHeight="1" x14ac:dyDescent="0.25">
      <c r="A51" s="8" t="s">
        <v>30</v>
      </c>
      <c r="B51" s="9"/>
      <c r="C51" s="9"/>
      <c r="D51" s="9"/>
      <c r="E51" s="10" t="str">
        <f t="shared" si="3"/>
        <v/>
      </c>
    </row>
    <row r="52" spans="1:5" ht="21" customHeight="1" x14ac:dyDescent="0.25">
      <c r="A52" s="8" t="s">
        <v>31</v>
      </c>
      <c r="B52" s="9"/>
      <c r="C52" s="9"/>
      <c r="D52" s="9"/>
      <c r="E52" s="10" t="str">
        <f t="shared" si="3"/>
        <v/>
      </c>
    </row>
    <row r="53" spans="1:5" ht="21" customHeight="1" x14ac:dyDescent="0.25">
      <c r="A53" s="8" t="s">
        <v>32</v>
      </c>
      <c r="B53" s="9"/>
      <c r="C53" s="9"/>
      <c r="D53" s="9"/>
      <c r="E53" s="10" t="str">
        <f t="shared" si="3"/>
        <v/>
      </c>
    </row>
    <row r="54" spans="1:5" ht="21" customHeight="1" x14ac:dyDescent="0.25">
      <c r="A54" s="8" t="s">
        <v>33</v>
      </c>
      <c r="B54" s="9"/>
      <c r="C54" s="9"/>
      <c r="D54" s="9"/>
      <c r="E54" s="10" t="str">
        <f t="shared" si="3"/>
        <v/>
      </c>
    </row>
    <row r="55" spans="1:5" ht="21" customHeight="1" x14ac:dyDescent="0.25">
      <c r="A55" s="8" t="s">
        <v>34</v>
      </c>
      <c r="B55" s="9"/>
      <c r="C55" s="9"/>
      <c r="D55" s="9"/>
      <c r="E55" s="10" t="str">
        <f t="shared" si="3"/>
        <v/>
      </c>
    </row>
    <row r="56" spans="1:5" ht="21" customHeight="1" x14ac:dyDescent="0.25">
      <c r="A56" s="8" t="s">
        <v>35</v>
      </c>
      <c r="B56" s="9"/>
      <c r="C56" s="9"/>
      <c r="D56" s="9"/>
      <c r="E56" s="10" t="str">
        <f t="shared" si="3"/>
        <v/>
      </c>
    </row>
    <row r="57" spans="1:5" ht="21" customHeight="1" x14ac:dyDescent="0.25">
      <c r="A57" s="8" t="s">
        <v>36</v>
      </c>
      <c r="B57" s="9"/>
      <c r="C57" s="9"/>
      <c r="D57" s="9"/>
      <c r="E57" s="10" t="str">
        <f t="shared" si="3"/>
        <v/>
      </c>
    </row>
    <row r="58" spans="1:5" ht="21" customHeight="1" x14ac:dyDescent="0.25">
      <c r="A58" s="8" t="s">
        <v>37</v>
      </c>
      <c r="B58" s="9"/>
      <c r="C58" s="9"/>
      <c r="D58" s="9"/>
      <c r="E58" s="10" t="str">
        <f t="shared" si="3"/>
        <v/>
      </c>
    </row>
    <row r="59" spans="1:5" ht="21" customHeight="1" x14ac:dyDescent="0.25">
      <c r="A59" s="8" t="s">
        <v>38</v>
      </c>
      <c r="B59" s="9"/>
      <c r="C59" s="9"/>
      <c r="D59" s="9"/>
      <c r="E59" s="10" t="str">
        <f t="shared" si="3"/>
        <v/>
      </c>
    </row>
    <row r="60" spans="1:5" ht="21" customHeight="1" x14ac:dyDescent="0.25">
      <c r="A60" s="8" t="s">
        <v>39</v>
      </c>
      <c r="B60" s="9"/>
      <c r="C60" s="9"/>
      <c r="D60" s="9"/>
      <c r="E60" s="10" t="str">
        <f t="shared" si="3"/>
        <v/>
      </c>
    </row>
    <row r="61" spans="1:5" ht="21" customHeight="1" x14ac:dyDescent="0.25">
      <c r="A61" s="8" t="s">
        <v>40</v>
      </c>
      <c r="B61" s="9"/>
      <c r="C61" s="9"/>
      <c r="D61" s="9"/>
      <c r="E61" s="10" t="str">
        <f t="shared" si="3"/>
        <v/>
      </c>
    </row>
    <row r="62" spans="1:5" ht="21" customHeight="1" x14ac:dyDescent="0.25">
      <c r="A62" s="8" t="s">
        <v>41</v>
      </c>
      <c r="B62" s="9"/>
      <c r="C62" s="9"/>
      <c r="D62" s="9"/>
      <c r="E62" s="10" t="str">
        <f t="shared" si="3"/>
        <v/>
      </c>
    </row>
    <row r="63" spans="1:5" ht="6" customHeight="1" x14ac:dyDescent="0.25">
      <c r="A63" s="1"/>
      <c r="B63" s="1"/>
      <c r="C63" s="1"/>
      <c r="D63" s="1"/>
      <c r="E63" s="1"/>
    </row>
    <row r="64" spans="1:5" ht="24" customHeight="1" x14ac:dyDescent="0.25">
      <c r="A64" s="6" t="s">
        <v>58</v>
      </c>
      <c r="B64" s="6"/>
      <c r="C64" s="6">
        <f>SUM(C44:C62)</f>
        <v>0</v>
      </c>
      <c r="D64" s="6">
        <f>SUM(D44:D62)</f>
        <v>0</v>
      </c>
      <c r="E64" s="7" t="e">
        <f>IF(C64&lt;&gt;"",D64/C64,"")</f>
        <v>#DIV/0!</v>
      </c>
    </row>
    <row r="65" spans="1:5" ht="10" customHeight="1" x14ac:dyDescent="0.25">
      <c r="A65" s="1"/>
      <c r="B65" s="1"/>
      <c r="C65" s="1"/>
      <c r="D65" s="1"/>
      <c r="E65" s="1"/>
    </row>
    <row r="66" spans="1:5" ht="28" customHeight="1" x14ac:dyDescent="0.25">
      <c r="A66" s="36" t="s">
        <v>59</v>
      </c>
      <c r="B66" s="34"/>
      <c r="C66" s="34"/>
      <c r="D66" s="34"/>
      <c r="E66" s="35"/>
    </row>
    <row r="67" spans="1:5" ht="24" customHeight="1" x14ac:dyDescent="0.25">
      <c r="A67" s="2" t="s">
        <v>18</v>
      </c>
      <c r="B67" s="2" t="s">
        <v>19</v>
      </c>
      <c r="C67" s="2" t="s">
        <v>20</v>
      </c>
      <c r="D67" s="2" t="s">
        <v>4</v>
      </c>
      <c r="E67" s="2" t="s">
        <v>5</v>
      </c>
    </row>
    <row r="68" spans="1:5" ht="22" customHeight="1" x14ac:dyDescent="0.25">
      <c r="A68" s="33" t="s">
        <v>42</v>
      </c>
      <c r="B68" s="34"/>
      <c r="C68" s="34"/>
      <c r="D68" s="34"/>
      <c r="E68" s="35"/>
    </row>
    <row r="69" spans="1:5" ht="21" customHeight="1" x14ac:dyDescent="0.25">
      <c r="A69" s="11" t="s">
        <v>43</v>
      </c>
      <c r="B69" s="12"/>
      <c r="C69" s="12"/>
      <c r="D69" s="12"/>
      <c r="E69" s="13" t="str">
        <f t="shared" ref="E69:E77" si="4">IF(AND(C69&lt;&gt;"",D69&lt;&gt;""),D69/C69,"")</f>
        <v/>
      </c>
    </row>
    <row r="70" spans="1:5" ht="21" customHeight="1" x14ac:dyDescent="0.25">
      <c r="A70" s="11" t="s">
        <v>60</v>
      </c>
      <c r="B70" s="12"/>
      <c r="C70" s="12"/>
      <c r="D70" s="12"/>
      <c r="E70" s="13" t="str">
        <f t="shared" si="4"/>
        <v/>
      </c>
    </row>
    <row r="71" spans="1:5" ht="21" customHeight="1" x14ac:dyDescent="0.25">
      <c r="A71" s="11" t="s">
        <v>61</v>
      </c>
      <c r="B71" s="12"/>
      <c r="C71" s="12"/>
      <c r="D71" s="12"/>
      <c r="E71" s="13" t="str">
        <f t="shared" si="4"/>
        <v/>
      </c>
    </row>
    <row r="72" spans="1:5" ht="21" customHeight="1" x14ac:dyDescent="0.25">
      <c r="A72" s="11" t="s">
        <v>62</v>
      </c>
      <c r="B72" s="12"/>
      <c r="C72" s="12"/>
      <c r="D72" s="12"/>
      <c r="E72" s="13" t="str">
        <f t="shared" si="4"/>
        <v/>
      </c>
    </row>
    <row r="73" spans="1:5" ht="21" customHeight="1" x14ac:dyDescent="0.25">
      <c r="A73" s="11" t="s">
        <v>63</v>
      </c>
      <c r="B73" s="12"/>
      <c r="C73" s="12"/>
      <c r="D73" s="12"/>
      <c r="E73" s="13" t="str">
        <f t="shared" si="4"/>
        <v/>
      </c>
    </row>
    <row r="74" spans="1:5" ht="21" customHeight="1" x14ac:dyDescent="0.25">
      <c r="A74" s="11" t="s">
        <v>64</v>
      </c>
      <c r="B74" s="12"/>
      <c r="C74" s="12"/>
      <c r="D74" s="12"/>
      <c r="E74" s="13" t="str">
        <f t="shared" si="4"/>
        <v/>
      </c>
    </row>
    <row r="75" spans="1:5" ht="21" customHeight="1" x14ac:dyDescent="0.25">
      <c r="A75" s="11" t="s">
        <v>65</v>
      </c>
      <c r="B75" s="12"/>
      <c r="C75" s="12"/>
      <c r="D75" s="12"/>
      <c r="E75" s="13" t="str">
        <f t="shared" si="4"/>
        <v/>
      </c>
    </row>
    <row r="76" spans="1:5" ht="21" customHeight="1" x14ac:dyDescent="0.25">
      <c r="A76" s="11" t="s">
        <v>66</v>
      </c>
      <c r="B76" s="12"/>
      <c r="C76" s="12"/>
      <c r="D76" s="12"/>
      <c r="E76" s="13" t="str">
        <f t="shared" si="4"/>
        <v/>
      </c>
    </row>
    <row r="77" spans="1:5" ht="21" customHeight="1" x14ac:dyDescent="0.25">
      <c r="A77" s="11" t="s">
        <v>67</v>
      </c>
      <c r="B77" s="12"/>
      <c r="C77" s="12"/>
      <c r="D77" s="12"/>
      <c r="E77" s="13" t="str">
        <f t="shared" si="4"/>
        <v/>
      </c>
    </row>
    <row r="78" spans="1:5" ht="22" customHeight="1" x14ac:dyDescent="0.25">
      <c r="A78" s="33" t="s">
        <v>49</v>
      </c>
      <c r="B78" s="34"/>
      <c r="C78" s="34"/>
      <c r="D78" s="34"/>
      <c r="E78" s="35"/>
    </row>
    <row r="79" spans="1:5" ht="21" customHeight="1" x14ac:dyDescent="0.25">
      <c r="A79" s="11" t="s">
        <v>68</v>
      </c>
      <c r="B79" s="12"/>
      <c r="C79" s="12"/>
      <c r="D79" s="12"/>
      <c r="E79" s="13" t="str">
        <f t="shared" ref="E79:E87" si="5">IF(AND(C79&lt;&gt;"",D79&lt;&gt;""),D79/C79,"")</f>
        <v/>
      </c>
    </row>
    <row r="80" spans="1:5" ht="21" customHeight="1" x14ac:dyDescent="0.25">
      <c r="A80" s="11" t="s">
        <v>51</v>
      </c>
      <c r="B80" s="12"/>
      <c r="C80" s="12"/>
      <c r="D80" s="12"/>
      <c r="E80" s="13" t="str">
        <f t="shared" si="5"/>
        <v/>
      </c>
    </row>
    <row r="81" spans="1:5" ht="21" customHeight="1" x14ac:dyDescent="0.25">
      <c r="A81" s="11" t="s">
        <v>69</v>
      </c>
      <c r="B81" s="12"/>
      <c r="C81" s="12"/>
      <c r="D81" s="12"/>
      <c r="E81" s="13" t="str">
        <f t="shared" si="5"/>
        <v/>
      </c>
    </row>
    <row r="82" spans="1:5" ht="21" customHeight="1" x14ac:dyDescent="0.25">
      <c r="A82" s="11" t="s">
        <v>70</v>
      </c>
      <c r="B82" s="12"/>
      <c r="C82" s="12"/>
      <c r="D82" s="12"/>
      <c r="E82" s="13" t="str">
        <f t="shared" si="5"/>
        <v/>
      </c>
    </row>
    <row r="83" spans="1:5" ht="21" customHeight="1" x14ac:dyDescent="0.25">
      <c r="A83" s="11" t="s">
        <v>71</v>
      </c>
      <c r="B83" s="12"/>
      <c r="C83" s="12"/>
      <c r="D83" s="12"/>
      <c r="E83" s="13" t="str">
        <f t="shared" si="5"/>
        <v/>
      </c>
    </row>
    <row r="84" spans="1:5" ht="21" customHeight="1" x14ac:dyDescent="0.25">
      <c r="A84" s="11" t="s">
        <v>72</v>
      </c>
      <c r="B84" s="12"/>
      <c r="C84" s="12"/>
      <c r="D84" s="12"/>
      <c r="E84" s="13" t="str">
        <f t="shared" si="5"/>
        <v/>
      </c>
    </row>
    <row r="85" spans="1:5" ht="21" customHeight="1" x14ac:dyDescent="0.25">
      <c r="A85" s="11" t="s">
        <v>73</v>
      </c>
      <c r="B85" s="12"/>
      <c r="C85" s="12"/>
      <c r="D85" s="12"/>
      <c r="E85" s="13" t="str">
        <f t="shared" si="5"/>
        <v/>
      </c>
    </row>
    <row r="86" spans="1:5" ht="21" customHeight="1" x14ac:dyDescent="0.25">
      <c r="A86" s="11" t="s">
        <v>74</v>
      </c>
      <c r="B86" s="12"/>
      <c r="C86" s="12"/>
      <c r="D86" s="12"/>
      <c r="E86" s="13" t="str">
        <f t="shared" si="5"/>
        <v/>
      </c>
    </row>
    <row r="87" spans="1:5" ht="21" customHeight="1" x14ac:dyDescent="0.25">
      <c r="A87" s="11" t="s">
        <v>75</v>
      </c>
      <c r="B87" s="12"/>
      <c r="C87" s="12"/>
      <c r="D87" s="12"/>
      <c r="E87" s="13" t="str">
        <f t="shared" si="5"/>
        <v/>
      </c>
    </row>
    <row r="88" spans="1:5" ht="22" customHeight="1" x14ac:dyDescent="0.25">
      <c r="A88" s="33" t="s">
        <v>76</v>
      </c>
      <c r="B88" s="34"/>
      <c r="C88" s="34"/>
      <c r="D88" s="34"/>
      <c r="E88" s="35"/>
    </row>
    <row r="89" spans="1:5" ht="21" customHeight="1" x14ac:dyDescent="0.25">
      <c r="A89" s="11" t="s">
        <v>77</v>
      </c>
      <c r="B89" s="12"/>
      <c r="C89" s="12"/>
      <c r="D89" s="12"/>
      <c r="E89" s="13" t="str">
        <f>IF(AND(C89&lt;&gt;"",D89&lt;&gt;""),D89/C89,"")</f>
        <v/>
      </c>
    </row>
    <row r="90" spans="1:5" ht="21" customHeight="1" x14ac:dyDescent="0.25">
      <c r="A90" s="11" t="s">
        <v>78</v>
      </c>
      <c r="B90" s="12"/>
      <c r="C90" s="12"/>
      <c r="D90" s="12"/>
      <c r="E90" s="13" t="str">
        <f>IF(AND(C90&lt;&gt;"",D90&lt;&gt;""),D90/C90,"")</f>
        <v/>
      </c>
    </row>
    <row r="91" spans="1:5" ht="21" customHeight="1" x14ac:dyDescent="0.25">
      <c r="A91" s="11" t="s">
        <v>79</v>
      </c>
      <c r="B91" s="12"/>
      <c r="C91" s="12"/>
      <c r="D91" s="12"/>
      <c r="E91" s="13" t="str">
        <f>IF(AND(C91&lt;&gt;"",D91&lt;&gt;""),D91/C91,"")</f>
        <v/>
      </c>
    </row>
    <row r="92" spans="1:5" ht="21" customHeight="1" x14ac:dyDescent="0.25">
      <c r="A92" s="11" t="s">
        <v>80</v>
      </c>
      <c r="B92" s="12"/>
      <c r="C92" s="12"/>
      <c r="D92" s="12"/>
      <c r="E92" s="13" t="str">
        <f>IF(AND(C92&lt;&gt;"",D92&lt;&gt;""),D92/C92,"")</f>
        <v/>
      </c>
    </row>
    <row r="93" spans="1:5" ht="6" customHeight="1" x14ac:dyDescent="0.25">
      <c r="A93" s="1"/>
      <c r="B93" s="1"/>
      <c r="C93" s="1"/>
      <c r="D93" s="1"/>
      <c r="E93" s="1"/>
    </row>
    <row r="94" spans="1:5" ht="24" customHeight="1" x14ac:dyDescent="0.25">
      <c r="A94" s="6" t="s">
        <v>81</v>
      </c>
      <c r="B94" s="6"/>
      <c r="C94" s="6">
        <f>SUM(C68:C92)</f>
        <v>0</v>
      </c>
      <c r="D94" s="6">
        <f>SUM(D68:D92)</f>
        <v>0</v>
      </c>
      <c r="E94" s="7" t="e">
        <f>IF(C94&lt;&gt;"",D94/C94,"")</f>
        <v>#DIV/0!</v>
      </c>
    </row>
    <row r="95" spans="1:5" ht="10" customHeight="1" x14ac:dyDescent="0.25">
      <c r="A95" s="1"/>
      <c r="B95" s="1"/>
      <c r="C95" s="1"/>
      <c r="D95" s="1"/>
      <c r="E95" s="1"/>
    </row>
    <row r="96" spans="1:5" ht="8" customHeight="1" x14ac:dyDescent="0.25">
      <c r="A96" s="1"/>
      <c r="B96" s="1"/>
      <c r="C96" s="1"/>
      <c r="D96" s="1"/>
      <c r="E96" s="1"/>
    </row>
    <row r="97" spans="1:5" ht="28" customHeight="1" x14ac:dyDescent="0.25">
      <c r="A97" s="38" t="s">
        <v>82</v>
      </c>
      <c r="B97" s="34"/>
      <c r="C97" s="34"/>
      <c r="D97" s="34"/>
      <c r="E97" s="35"/>
    </row>
    <row r="98" spans="1:5" ht="16.5" customHeight="1" x14ac:dyDescent="0.25">
      <c r="A98" s="14"/>
      <c r="B98" s="14"/>
      <c r="C98" s="14" t="s">
        <v>20</v>
      </c>
      <c r="D98" s="14" t="s">
        <v>83</v>
      </c>
      <c r="E98" s="14" t="s">
        <v>84</v>
      </c>
    </row>
    <row r="99" spans="1:5" ht="16.5" customHeight="1" x14ac:dyDescent="0.25">
      <c r="A99" s="15" t="s">
        <v>85</v>
      </c>
      <c r="B99" s="15"/>
      <c r="C99" s="15">
        <f>C40+C64+C94</f>
        <v>204</v>
      </c>
      <c r="D99" s="15">
        <f>D40+D64+D94</f>
        <v>168</v>
      </c>
      <c r="E99" s="16">
        <f>IF(C99&lt;&gt;"",D99/C99,"")</f>
        <v>0.82352941176470584</v>
      </c>
    </row>
    <row r="120" spans="1:2" x14ac:dyDescent="0.25">
      <c r="A120" t="s">
        <v>86</v>
      </c>
      <c r="B120" t="s">
        <v>5</v>
      </c>
    </row>
    <row r="121" spans="1:2" x14ac:dyDescent="0.25">
      <c r="A121" t="s">
        <v>15</v>
      </c>
      <c r="B121">
        <f>IF(AND(C40&lt;&gt;"",D40&lt;&gt;""),D40/C40,"")</f>
        <v>0.82352941176470584</v>
      </c>
    </row>
    <row r="122" spans="1:2" x14ac:dyDescent="0.25">
      <c r="A122" t="s">
        <v>17</v>
      </c>
      <c r="B122" t="e">
        <f>IF(AND(C64&lt;&gt;"",D64&lt;&gt;""),D64/C64,"")</f>
        <v>#DIV/0!</v>
      </c>
    </row>
    <row r="123" spans="1:2" x14ac:dyDescent="0.25">
      <c r="A123" t="s">
        <v>21</v>
      </c>
      <c r="B123" t="e">
        <f>IF(AND(C94&lt;&gt;"",D94&lt;&gt;""),D94/C94,"")</f>
        <v>#DIV/0!</v>
      </c>
    </row>
  </sheetData>
  <mergeCells count="12">
    <mergeCell ref="A88:E88"/>
    <mergeCell ref="A97:E97"/>
    <mergeCell ref="A78:E78"/>
    <mergeCell ref="A3:E3"/>
    <mergeCell ref="A25:E25"/>
    <mergeCell ref="A1:E1"/>
    <mergeCell ref="A44:E44"/>
    <mergeCell ref="A66:E66"/>
    <mergeCell ref="A5:E5"/>
    <mergeCell ref="A32:E32"/>
    <mergeCell ref="A42:E42"/>
    <mergeCell ref="A68:E68"/>
  </mergeCells>
  <phoneticPr fontId="9" type="noConversion"/>
  <conditionalFormatting sqref="E5:E40">
    <cfRule type="cellIs" dxfId="23" priority="1" operator="greaterThanOrEqual">
      <formula>0.9</formula>
    </cfRule>
    <cfRule type="cellIs" dxfId="22" priority="2" operator="between">
      <formula>0.8</formula>
      <formula>0.9</formula>
    </cfRule>
    <cfRule type="cellIs" dxfId="21" priority="3" operator="lessThan">
      <formula>0.8</formula>
    </cfRule>
  </conditionalFormatting>
  <conditionalFormatting sqref="E44:E64">
    <cfRule type="cellIs" dxfId="20" priority="4" operator="greaterThanOrEqual">
      <formula>0.9</formula>
    </cfRule>
    <cfRule type="cellIs" dxfId="19" priority="5" operator="between">
      <formula>0.8</formula>
      <formula>0.9</formula>
    </cfRule>
    <cfRule type="cellIs" dxfId="18" priority="6" operator="lessThan">
      <formula>0.8</formula>
    </cfRule>
  </conditionalFormatting>
  <conditionalFormatting sqref="E68:E94">
    <cfRule type="cellIs" dxfId="17" priority="7" operator="greaterThanOrEqual">
      <formula>0.9</formula>
    </cfRule>
    <cfRule type="cellIs" dxfId="16" priority="8" operator="between">
      <formula>0.8</formula>
      <formula>0.9</formula>
    </cfRule>
    <cfRule type="cellIs" dxfId="15" priority="9" operator="lessThan">
      <formula>0.8</formula>
    </cfRule>
  </conditionalFormatting>
  <conditionalFormatting sqref="E99">
    <cfRule type="cellIs" dxfId="14" priority="10" operator="greaterThanOrEqual">
      <formula>0.9</formula>
    </cfRule>
    <cfRule type="cellIs" dxfId="13" priority="11" operator="between">
      <formula>0.8</formula>
      <formula>0.9</formula>
    </cfRule>
    <cfRule type="cellIs" dxfId="12" priority="12" operator="lessThan">
      <formula>0.8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3" topLeftCell="A26" activePane="bottomLeft" state="frozen"/>
      <selection pane="bottomLeft" activeCell="A16" sqref="A16:E16"/>
    </sheetView>
  </sheetViews>
  <sheetFormatPr defaultRowHeight="14" x14ac:dyDescent="0.25"/>
  <cols>
    <col min="1" max="1" width="36" customWidth="1"/>
    <col min="2" max="2" width="14" customWidth="1"/>
    <col min="3" max="4" width="12" customWidth="1"/>
    <col min="5" max="5" width="14" customWidth="1"/>
  </cols>
  <sheetData>
    <row r="1" spans="1:5" ht="38" customHeight="1" x14ac:dyDescent="0.25">
      <c r="A1" s="37" t="s">
        <v>87</v>
      </c>
      <c r="B1" s="34"/>
      <c r="C1" s="34"/>
      <c r="D1" s="34"/>
      <c r="E1" s="35"/>
    </row>
    <row r="2" spans="1:5" ht="6" customHeight="1" x14ac:dyDescent="0.25">
      <c r="A2" s="1"/>
      <c r="B2" s="1"/>
      <c r="C2" s="1"/>
      <c r="D2" s="1"/>
      <c r="E2" s="1"/>
    </row>
    <row r="3" spans="1:5" ht="24" customHeight="1" x14ac:dyDescent="0.25">
      <c r="A3" s="2" t="s">
        <v>88</v>
      </c>
      <c r="B3" s="2" t="s">
        <v>19</v>
      </c>
      <c r="C3" s="2" t="s">
        <v>20</v>
      </c>
      <c r="D3" s="2" t="s">
        <v>4</v>
      </c>
      <c r="E3" s="2" t="s">
        <v>5</v>
      </c>
    </row>
    <row r="4" spans="1:5" ht="22" customHeight="1" x14ac:dyDescent="0.25">
      <c r="A4" s="33" t="s">
        <v>89</v>
      </c>
      <c r="B4" s="34"/>
      <c r="C4" s="34"/>
      <c r="D4" s="34"/>
      <c r="E4" s="35"/>
    </row>
    <row r="5" spans="1:5" ht="21" customHeight="1" x14ac:dyDescent="0.25">
      <c r="A5" s="3" t="s">
        <v>90</v>
      </c>
      <c r="B5" s="4">
        <v>530</v>
      </c>
      <c r="C5" s="4">
        <v>11</v>
      </c>
      <c r="D5" s="4">
        <v>10</v>
      </c>
      <c r="E5" s="5">
        <f t="shared" ref="E5:E10" si="0">IF(AND(C5&lt;&gt;"",D5&lt;&gt;""),D5/C5,"")</f>
        <v>0.90909090909090906</v>
      </c>
    </row>
    <row r="6" spans="1:5" ht="21" customHeight="1" x14ac:dyDescent="0.25">
      <c r="A6" s="3" t="s">
        <v>91</v>
      </c>
      <c r="B6" s="4">
        <v>530</v>
      </c>
      <c r="C6" s="4">
        <v>20</v>
      </c>
      <c r="D6" s="4">
        <v>14</v>
      </c>
      <c r="E6" s="5">
        <f t="shared" si="0"/>
        <v>0.7</v>
      </c>
    </row>
    <row r="7" spans="1:5" ht="21" customHeight="1" x14ac:dyDescent="0.25">
      <c r="A7" s="3" t="s">
        <v>92</v>
      </c>
      <c r="B7" s="4">
        <v>530</v>
      </c>
      <c r="C7" s="4">
        <v>33</v>
      </c>
      <c r="D7" s="4">
        <v>25</v>
      </c>
      <c r="E7" s="5">
        <f t="shared" si="0"/>
        <v>0.75757575757575757</v>
      </c>
    </row>
    <row r="8" spans="1:5" ht="21" customHeight="1" x14ac:dyDescent="0.25">
      <c r="A8" s="3" t="s">
        <v>93</v>
      </c>
      <c r="B8" s="4">
        <v>531</v>
      </c>
      <c r="C8" s="4"/>
      <c r="D8" s="4"/>
      <c r="E8" s="5" t="str">
        <f t="shared" si="0"/>
        <v/>
      </c>
    </row>
    <row r="9" spans="1:5" ht="21" customHeight="1" x14ac:dyDescent="0.25">
      <c r="A9" s="3" t="s">
        <v>94</v>
      </c>
      <c r="B9" s="4">
        <v>531</v>
      </c>
      <c r="C9" s="4"/>
      <c r="D9" s="4"/>
      <c r="E9" s="5" t="str">
        <f t="shared" si="0"/>
        <v/>
      </c>
    </row>
    <row r="10" spans="1:5" ht="21" customHeight="1" x14ac:dyDescent="0.25">
      <c r="A10" s="3" t="s">
        <v>95</v>
      </c>
      <c r="B10" s="4">
        <v>531</v>
      </c>
      <c r="C10" s="4">
        <v>22</v>
      </c>
      <c r="D10" s="4">
        <v>14</v>
      </c>
      <c r="E10" s="5">
        <f t="shared" si="0"/>
        <v>0.63636363636363635</v>
      </c>
    </row>
    <row r="11" spans="1:5" ht="22" customHeight="1" x14ac:dyDescent="0.25">
      <c r="A11" s="33" t="s">
        <v>96</v>
      </c>
      <c r="B11" s="34"/>
      <c r="C11" s="34"/>
      <c r="D11" s="34"/>
      <c r="E11" s="35"/>
    </row>
    <row r="12" spans="1:5" ht="21" customHeight="1" x14ac:dyDescent="0.25">
      <c r="A12" s="3" t="s">
        <v>97</v>
      </c>
      <c r="B12" s="4">
        <v>601</v>
      </c>
      <c r="C12" s="4">
        <v>73</v>
      </c>
      <c r="D12" s="4">
        <v>53</v>
      </c>
      <c r="E12" s="5">
        <f>IF(AND(C12&lt;&gt;"",D12&lt;&gt;""),D12/C12,"")</f>
        <v>0.72602739726027399</v>
      </c>
    </row>
    <row r="13" spans="1:5" ht="21" customHeight="1" x14ac:dyDescent="0.25">
      <c r="A13" s="3" t="s">
        <v>98</v>
      </c>
      <c r="B13" s="4">
        <v>602</v>
      </c>
      <c r="C13" s="4">
        <v>57</v>
      </c>
      <c r="D13" s="4">
        <v>46</v>
      </c>
      <c r="E13" s="5">
        <f>IF(AND(C13&lt;&gt;"",D13&lt;&gt;""),D13/C13,"")</f>
        <v>0.80701754385964908</v>
      </c>
    </row>
    <row r="14" spans="1:5" ht="21" customHeight="1" x14ac:dyDescent="0.25">
      <c r="A14" s="3" t="s">
        <v>99</v>
      </c>
      <c r="B14" s="4">
        <v>606</v>
      </c>
      <c r="C14" s="4">
        <v>56</v>
      </c>
      <c r="D14" s="4">
        <v>46</v>
      </c>
      <c r="E14" s="5">
        <f>IF(AND(C14&lt;&gt;"",D14&lt;&gt;""),D14/C14,"")</f>
        <v>0.8214285714285714</v>
      </c>
    </row>
    <row r="15" spans="1:5" ht="21" customHeight="1" x14ac:dyDescent="0.25">
      <c r="A15" s="3" t="s">
        <v>100</v>
      </c>
      <c r="B15" s="4">
        <v>607</v>
      </c>
      <c r="C15" s="4">
        <v>45</v>
      </c>
      <c r="D15" s="4">
        <v>38</v>
      </c>
      <c r="E15" s="5">
        <f>IF(AND(C15&lt;&gt;"",D15&lt;&gt;""),D15/C15,"")</f>
        <v>0.84444444444444444</v>
      </c>
    </row>
    <row r="16" spans="1:5" ht="22" customHeight="1" x14ac:dyDescent="0.25">
      <c r="A16" s="33" t="s">
        <v>101</v>
      </c>
      <c r="B16" s="34"/>
      <c r="C16" s="34"/>
      <c r="D16" s="34"/>
      <c r="E16" s="35"/>
    </row>
    <row r="17" spans="1:5" ht="21" customHeight="1" x14ac:dyDescent="0.25">
      <c r="A17" s="3" t="s">
        <v>102</v>
      </c>
      <c r="B17" s="4"/>
      <c r="C17" s="4"/>
      <c r="D17" s="4"/>
      <c r="E17" s="5" t="str">
        <f>IF(AND(C17&lt;&gt;"",D17&lt;&gt;""),D17/C17,"")</f>
        <v/>
      </c>
    </row>
    <row r="18" spans="1:5" ht="21" customHeight="1" x14ac:dyDescent="0.25">
      <c r="A18" s="3" t="s">
        <v>103</v>
      </c>
      <c r="B18" s="4"/>
      <c r="C18" s="4"/>
      <c r="D18" s="4"/>
      <c r="E18" s="5" t="str">
        <f>IF(AND(C18&lt;&gt;"",D18&lt;&gt;""),D18/C18,"")</f>
        <v/>
      </c>
    </row>
    <row r="19" spans="1:5" ht="22" customHeight="1" x14ac:dyDescent="0.25">
      <c r="A19" s="33" t="s">
        <v>104</v>
      </c>
      <c r="B19" s="34"/>
      <c r="C19" s="34"/>
      <c r="D19" s="34"/>
      <c r="E19" s="35"/>
    </row>
    <row r="20" spans="1:5" ht="21" customHeight="1" x14ac:dyDescent="0.25">
      <c r="A20" s="3" t="s">
        <v>105</v>
      </c>
      <c r="B20" s="4"/>
      <c r="C20" s="4"/>
      <c r="D20" s="4"/>
      <c r="E20" s="5" t="str">
        <f>IF(AND(C20&lt;&gt;"",D20&lt;&gt;""),D20/C20,"")</f>
        <v/>
      </c>
    </row>
    <row r="21" spans="1:5" ht="21" customHeight="1" x14ac:dyDescent="0.25">
      <c r="A21" s="3" t="s">
        <v>106</v>
      </c>
      <c r="B21" s="4"/>
      <c r="C21" s="4"/>
      <c r="D21" s="4"/>
      <c r="E21" s="5" t="str">
        <f>IF(AND(C21&lt;&gt;"",D21&lt;&gt;""),D21/C21,"")</f>
        <v/>
      </c>
    </row>
    <row r="22" spans="1:5" ht="21" customHeight="1" x14ac:dyDescent="0.25">
      <c r="A22" s="3" t="s">
        <v>107</v>
      </c>
      <c r="B22" s="4"/>
      <c r="C22" s="4"/>
      <c r="D22" s="4"/>
      <c r="E22" s="5" t="str">
        <f>IF(AND(C22&lt;&gt;"",D22&lt;&gt;""),D22/C22,"")</f>
        <v/>
      </c>
    </row>
    <row r="23" spans="1:5" ht="22" customHeight="1" x14ac:dyDescent="0.25">
      <c r="A23" s="33" t="s">
        <v>108</v>
      </c>
      <c r="B23" s="34"/>
      <c r="C23" s="34"/>
      <c r="D23" s="34"/>
      <c r="E23" s="35"/>
    </row>
    <row r="24" spans="1:5" ht="21" customHeight="1" x14ac:dyDescent="0.25">
      <c r="A24" s="3" t="s">
        <v>109</v>
      </c>
      <c r="B24" s="4"/>
      <c r="C24" s="4"/>
      <c r="D24" s="4"/>
      <c r="E24" s="5" t="str">
        <f>IF(AND(C24&lt;&gt;"",D24&lt;&gt;""),D24/C24,"")</f>
        <v/>
      </c>
    </row>
    <row r="25" spans="1:5" ht="21" customHeight="1" x14ac:dyDescent="0.25">
      <c r="A25" s="3" t="s">
        <v>110</v>
      </c>
      <c r="B25" s="4"/>
      <c r="C25" s="4"/>
      <c r="D25" s="4"/>
      <c r="E25" s="5" t="str">
        <f>IF(AND(C25&lt;&gt;"",D25&lt;&gt;""),D25/C25,"")</f>
        <v/>
      </c>
    </row>
    <row r="26" spans="1:5" ht="21" customHeight="1" x14ac:dyDescent="0.25">
      <c r="A26" s="3" t="s">
        <v>111</v>
      </c>
      <c r="B26" s="4"/>
      <c r="C26" s="4"/>
      <c r="D26" s="4"/>
      <c r="E26" s="5" t="str">
        <f>IF(AND(C26&lt;&gt;"",D26&lt;&gt;""),D26/C26,"")</f>
        <v/>
      </c>
    </row>
    <row r="27" spans="1:5" ht="6" customHeight="1" x14ac:dyDescent="0.25">
      <c r="A27" s="1"/>
      <c r="B27" s="1"/>
      <c r="C27" s="1"/>
      <c r="D27" s="1"/>
      <c r="E27" s="1"/>
    </row>
    <row r="28" spans="1:5" ht="28" customHeight="1" x14ac:dyDescent="0.25">
      <c r="A28" s="15" t="s">
        <v>112</v>
      </c>
      <c r="B28" s="15"/>
      <c r="C28" s="15">
        <f>SUM(C4:C26)</f>
        <v>317</v>
      </c>
      <c r="D28" s="15">
        <f>SUM(D4:D26)</f>
        <v>246</v>
      </c>
      <c r="E28" s="16">
        <f>IF(C28&lt;&gt;"",D28/C28,"")</f>
        <v>0.77602523659305989</v>
      </c>
    </row>
  </sheetData>
  <mergeCells count="6">
    <mergeCell ref="A19:E19"/>
    <mergeCell ref="A23:E23"/>
    <mergeCell ref="A4:E4"/>
    <mergeCell ref="A1:E1"/>
    <mergeCell ref="A11:E11"/>
    <mergeCell ref="A16:E16"/>
  </mergeCells>
  <phoneticPr fontId="9" type="noConversion"/>
  <conditionalFormatting sqref="E4:E28">
    <cfRule type="cellIs" dxfId="11" priority="1" operator="greaterThanOrEqual">
      <formula>0.9</formula>
    </cfRule>
    <cfRule type="cellIs" dxfId="10" priority="2" operator="between">
      <formula>0.8</formula>
      <formula>0.9</formula>
    </cfRule>
    <cfRule type="cellIs" dxfId="9" priority="3" operator="lessThan">
      <formula>0.8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"/>
  <sheetViews>
    <sheetView workbookViewId="0">
      <pane ySplit="3" topLeftCell="A34" activePane="bottomLeft" state="frozen"/>
      <selection pane="bottomLeft" activeCell="A4" sqref="A4:E4"/>
    </sheetView>
  </sheetViews>
  <sheetFormatPr defaultRowHeight="14" x14ac:dyDescent="0.25"/>
  <cols>
    <col min="1" max="1" width="36" customWidth="1"/>
    <col min="2" max="2" width="14" customWidth="1"/>
    <col min="3" max="4" width="12" customWidth="1"/>
    <col min="5" max="5" width="14" customWidth="1"/>
  </cols>
  <sheetData>
    <row r="1" spans="1:5" ht="38" customHeight="1" x14ac:dyDescent="0.25">
      <c r="A1" s="37" t="s">
        <v>113</v>
      </c>
      <c r="B1" s="34"/>
      <c r="C1" s="34"/>
      <c r="D1" s="34"/>
      <c r="E1" s="35"/>
    </row>
    <row r="2" spans="1:5" ht="6" customHeight="1" x14ac:dyDescent="0.25">
      <c r="A2" s="1"/>
      <c r="B2" s="1"/>
      <c r="C2" s="1"/>
      <c r="D2" s="1"/>
      <c r="E2" s="1"/>
    </row>
    <row r="3" spans="1:5" ht="24" customHeight="1" x14ac:dyDescent="0.25">
      <c r="A3" s="2" t="s">
        <v>88</v>
      </c>
      <c r="B3" s="2" t="s">
        <v>19</v>
      </c>
      <c r="C3" s="2" t="s">
        <v>20</v>
      </c>
      <c r="D3" s="2" t="s">
        <v>4</v>
      </c>
      <c r="E3" s="2" t="s">
        <v>5</v>
      </c>
    </row>
    <row r="4" spans="1:5" ht="22" customHeight="1" x14ac:dyDescent="0.25">
      <c r="A4" s="33" t="s">
        <v>89</v>
      </c>
      <c r="B4" s="34"/>
      <c r="C4" s="34"/>
      <c r="D4" s="34"/>
      <c r="E4" s="35"/>
    </row>
    <row r="5" spans="1:5" ht="21" customHeight="1" x14ac:dyDescent="0.25">
      <c r="A5" s="3" t="s">
        <v>114</v>
      </c>
      <c r="B5" s="4">
        <v>507</v>
      </c>
      <c r="C5" s="4">
        <v>1</v>
      </c>
      <c r="D5" s="4">
        <v>1</v>
      </c>
      <c r="E5" s="5">
        <f>IF(AND(C5&lt;&gt;"",D5&lt;&gt;""),D5/C5,"")</f>
        <v>1</v>
      </c>
    </row>
    <row r="6" spans="1:5" ht="21" customHeight="1" x14ac:dyDescent="0.25">
      <c r="A6" s="3" t="s">
        <v>115</v>
      </c>
      <c r="B6" s="4">
        <v>507</v>
      </c>
      <c r="C6" s="4">
        <v>14</v>
      </c>
      <c r="D6" s="4">
        <v>13</v>
      </c>
      <c r="E6" s="5">
        <f>IF(AND(C6&lt;&gt;"",D6&lt;&gt;""),D6/C6,"")</f>
        <v>0.9285714285714286</v>
      </c>
    </row>
    <row r="7" spans="1:5" ht="21" customHeight="1" x14ac:dyDescent="0.25">
      <c r="A7" s="3" t="s">
        <v>116</v>
      </c>
      <c r="B7" s="4">
        <v>508</v>
      </c>
      <c r="C7" s="4">
        <v>20</v>
      </c>
      <c r="D7" s="4">
        <v>12</v>
      </c>
      <c r="E7" s="5">
        <f>IF(AND(C7&lt;&gt;"",D7&lt;&gt;""),D7/C7,"")</f>
        <v>0.6</v>
      </c>
    </row>
    <row r="8" spans="1:5" ht="22" customHeight="1" x14ac:dyDescent="0.25">
      <c r="A8" s="33" t="s">
        <v>117</v>
      </c>
      <c r="B8" s="34"/>
      <c r="C8" s="34"/>
      <c r="D8" s="34"/>
      <c r="E8" s="35"/>
    </row>
    <row r="9" spans="1:5" ht="21" customHeight="1" x14ac:dyDescent="0.25">
      <c r="A9" s="3" t="s">
        <v>118</v>
      </c>
      <c r="B9" s="4">
        <v>509</v>
      </c>
      <c r="C9" s="4">
        <v>34</v>
      </c>
      <c r="D9" s="4">
        <v>25</v>
      </c>
      <c r="E9" s="5">
        <f>IF(AND(C9&lt;&gt;"",D9&lt;&gt;""),D9/C9,"")</f>
        <v>0.73529411764705888</v>
      </c>
    </row>
    <row r="10" spans="1:5" ht="21" customHeight="1" x14ac:dyDescent="0.25">
      <c r="A10" s="3" t="s">
        <v>119</v>
      </c>
      <c r="B10" s="4">
        <v>510</v>
      </c>
      <c r="C10" s="4">
        <v>35</v>
      </c>
      <c r="D10" s="4">
        <v>25</v>
      </c>
      <c r="E10" s="5">
        <f>IF(AND(C10&lt;&gt;"",D10&lt;&gt;""),D10/C10,"")</f>
        <v>0.7142857142857143</v>
      </c>
    </row>
    <row r="11" spans="1:5" ht="21" customHeight="1" x14ac:dyDescent="0.25">
      <c r="A11" s="3" t="s">
        <v>120</v>
      </c>
      <c r="B11" s="4">
        <v>512</v>
      </c>
      <c r="C11" s="4">
        <v>45</v>
      </c>
      <c r="D11" s="4">
        <v>37</v>
      </c>
      <c r="E11" s="5">
        <f>IF(AND(C11&lt;&gt;"",D11&lt;&gt;""),D11/C11,"")</f>
        <v>0.82222222222222219</v>
      </c>
    </row>
    <row r="12" spans="1:5" ht="22" customHeight="1" x14ac:dyDescent="0.25">
      <c r="A12" s="33" t="s">
        <v>121</v>
      </c>
      <c r="B12" s="34"/>
      <c r="C12" s="34"/>
      <c r="D12" s="34"/>
      <c r="E12" s="35"/>
    </row>
    <row r="13" spans="1:5" ht="21" customHeight="1" x14ac:dyDescent="0.25">
      <c r="A13" s="3" t="s">
        <v>122</v>
      </c>
      <c r="B13" s="4">
        <v>513</v>
      </c>
      <c r="C13" s="4">
        <v>11</v>
      </c>
      <c r="D13" s="4">
        <v>10</v>
      </c>
      <c r="E13" s="5">
        <f t="shared" ref="E13:E18" si="0">IF(AND(C13&lt;&gt;"",D13&lt;&gt;""),D13/C13,"")</f>
        <v>0.90909090909090906</v>
      </c>
    </row>
    <row r="14" spans="1:5" ht="21" customHeight="1" x14ac:dyDescent="0.25">
      <c r="A14" s="3" t="s">
        <v>123</v>
      </c>
      <c r="B14" s="4">
        <v>514</v>
      </c>
      <c r="C14" s="4">
        <v>37</v>
      </c>
      <c r="D14" s="4">
        <v>30</v>
      </c>
      <c r="E14" s="5">
        <f t="shared" si="0"/>
        <v>0.81081081081081086</v>
      </c>
    </row>
    <row r="15" spans="1:5" ht="21" customHeight="1" x14ac:dyDescent="0.25">
      <c r="A15" s="3" t="s">
        <v>124</v>
      </c>
      <c r="B15" s="4">
        <v>515</v>
      </c>
      <c r="C15" s="4">
        <v>15</v>
      </c>
      <c r="D15" s="4">
        <v>11</v>
      </c>
      <c r="E15" s="5">
        <f t="shared" si="0"/>
        <v>0.73333333333333328</v>
      </c>
    </row>
    <row r="16" spans="1:5" ht="21" customHeight="1" x14ac:dyDescent="0.25">
      <c r="A16" s="3" t="s">
        <v>125</v>
      </c>
      <c r="B16" s="4">
        <v>516</v>
      </c>
      <c r="C16" s="4">
        <v>12</v>
      </c>
      <c r="D16" s="4">
        <v>9</v>
      </c>
      <c r="E16" s="5">
        <f t="shared" si="0"/>
        <v>0.75</v>
      </c>
    </row>
    <row r="17" spans="1:5" ht="21" customHeight="1" x14ac:dyDescent="0.25">
      <c r="A17" s="3" t="s">
        <v>126</v>
      </c>
      <c r="B17" s="4">
        <v>516</v>
      </c>
      <c r="C17" s="4">
        <v>35</v>
      </c>
      <c r="D17" s="4">
        <v>22</v>
      </c>
      <c r="E17" s="5">
        <f t="shared" si="0"/>
        <v>0.62857142857142856</v>
      </c>
    </row>
    <row r="18" spans="1:5" ht="21" customHeight="1" x14ac:dyDescent="0.25">
      <c r="A18" s="3" t="s">
        <v>127</v>
      </c>
      <c r="B18" s="4">
        <v>517</v>
      </c>
      <c r="C18" s="4">
        <v>20</v>
      </c>
      <c r="D18" s="4">
        <v>12</v>
      </c>
      <c r="E18" s="5">
        <f t="shared" si="0"/>
        <v>0.6</v>
      </c>
    </row>
    <row r="19" spans="1:5" ht="22" customHeight="1" x14ac:dyDescent="0.25">
      <c r="A19" s="33" t="s">
        <v>128</v>
      </c>
      <c r="B19" s="34"/>
      <c r="C19" s="34"/>
      <c r="D19" s="34"/>
      <c r="E19" s="35"/>
    </row>
    <row r="20" spans="1:5" ht="21" customHeight="1" x14ac:dyDescent="0.25">
      <c r="A20" s="3" t="s">
        <v>129</v>
      </c>
      <c r="B20" s="4">
        <v>518</v>
      </c>
      <c r="C20" s="4">
        <v>16</v>
      </c>
      <c r="D20" s="4">
        <v>12</v>
      </c>
      <c r="E20" s="5">
        <f>IF(AND(C20&lt;&gt;"",D20&lt;&gt;""),D20/C20,"")</f>
        <v>0.75</v>
      </c>
    </row>
    <row r="21" spans="1:5" ht="21" customHeight="1" x14ac:dyDescent="0.25">
      <c r="A21" s="3" t="s">
        <v>130</v>
      </c>
      <c r="B21" s="4">
        <v>518</v>
      </c>
      <c r="C21" s="4">
        <v>33</v>
      </c>
      <c r="D21" s="4">
        <v>25</v>
      </c>
      <c r="E21" s="5">
        <f>IF(AND(C21&lt;&gt;"",D21&lt;&gt;""),D21/C21,"")</f>
        <v>0.75757575757575757</v>
      </c>
    </row>
    <row r="22" spans="1:5" ht="21" customHeight="1" x14ac:dyDescent="0.25">
      <c r="A22" s="3" t="s">
        <v>131</v>
      </c>
      <c r="B22" s="4">
        <v>519</v>
      </c>
      <c r="C22" s="4"/>
      <c r="D22" s="4"/>
      <c r="E22" s="5" t="str">
        <f>IF(AND(C22&lt;&gt;"",D22&lt;&gt;""),D22/C22,"")</f>
        <v/>
      </c>
    </row>
    <row r="23" spans="1:5" ht="21" customHeight="1" x14ac:dyDescent="0.25">
      <c r="A23" s="3" t="s">
        <v>132</v>
      </c>
      <c r="B23" s="4">
        <v>520</v>
      </c>
      <c r="C23" s="4">
        <v>6</v>
      </c>
      <c r="D23" s="4">
        <v>6</v>
      </c>
      <c r="E23" s="5">
        <f>IF(AND(C23&lt;&gt;"",D23&lt;&gt;""),D23/C23,"")</f>
        <v>1</v>
      </c>
    </row>
    <row r="24" spans="1:5" ht="22" customHeight="1" x14ac:dyDescent="0.25">
      <c r="A24" s="33" t="s">
        <v>133</v>
      </c>
      <c r="B24" s="34"/>
      <c r="C24" s="34"/>
      <c r="D24" s="34"/>
      <c r="E24" s="35"/>
    </row>
    <row r="25" spans="1:5" ht="21" customHeight="1" x14ac:dyDescent="0.25">
      <c r="A25" s="3" t="s">
        <v>134</v>
      </c>
      <c r="B25" s="4">
        <v>521</v>
      </c>
      <c r="C25" s="4">
        <v>24</v>
      </c>
      <c r="D25" s="4">
        <v>15</v>
      </c>
      <c r="E25" s="5">
        <f t="shared" ref="E25:E31" si="1">IF(AND(C25&lt;&gt;"",D25&lt;&gt;""),D25/C25,"")</f>
        <v>0.625</v>
      </c>
    </row>
    <row r="26" spans="1:5" ht="21" customHeight="1" x14ac:dyDescent="0.25">
      <c r="A26" s="3" t="s">
        <v>135</v>
      </c>
      <c r="B26" s="4">
        <v>521</v>
      </c>
      <c r="C26" s="4">
        <v>11</v>
      </c>
      <c r="D26" s="4">
        <v>8</v>
      </c>
      <c r="E26" s="5">
        <f t="shared" si="1"/>
        <v>0.72727272727272729</v>
      </c>
    </row>
    <row r="27" spans="1:5" ht="21" customHeight="1" x14ac:dyDescent="0.25">
      <c r="A27" s="3" t="s">
        <v>136</v>
      </c>
      <c r="B27" s="4">
        <v>522</v>
      </c>
      <c r="C27" s="4">
        <v>18</v>
      </c>
      <c r="D27" s="4">
        <v>12</v>
      </c>
      <c r="E27" s="5">
        <f t="shared" si="1"/>
        <v>0.66666666666666663</v>
      </c>
    </row>
    <row r="28" spans="1:5" ht="21" customHeight="1" x14ac:dyDescent="0.25">
      <c r="A28" s="3" t="s">
        <v>137</v>
      </c>
      <c r="B28" s="4">
        <v>523</v>
      </c>
      <c r="C28" s="4">
        <v>27</v>
      </c>
      <c r="D28" s="4">
        <v>22</v>
      </c>
      <c r="E28" s="5">
        <f t="shared" si="1"/>
        <v>0.81481481481481477</v>
      </c>
    </row>
    <row r="29" spans="1:5" ht="21" customHeight="1" x14ac:dyDescent="0.25">
      <c r="A29" s="3" t="s">
        <v>138</v>
      </c>
      <c r="B29" s="4">
        <v>524</v>
      </c>
      <c r="C29" s="4">
        <v>13</v>
      </c>
      <c r="D29" s="4">
        <v>7</v>
      </c>
      <c r="E29" s="5">
        <f t="shared" si="1"/>
        <v>0.53846153846153844</v>
      </c>
    </row>
    <row r="30" spans="1:5" ht="21" customHeight="1" x14ac:dyDescent="0.25">
      <c r="A30" s="3" t="s">
        <v>139</v>
      </c>
      <c r="B30" s="4">
        <v>525</v>
      </c>
      <c r="C30" s="4">
        <v>33</v>
      </c>
      <c r="D30" s="4">
        <v>31</v>
      </c>
      <c r="E30" s="5">
        <f t="shared" si="1"/>
        <v>0.93939393939393945</v>
      </c>
    </row>
    <row r="31" spans="1:5" ht="21" customHeight="1" x14ac:dyDescent="0.25">
      <c r="A31" s="3" t="s">
        <v>140</v>
      </c>
      <c r="B31" s="4">
        <v>525</v>
      </c>
      <c r="C31" s="4">
        <v>12</v>
      </c>
      <c r="D31" s="4">
        <v>10</v>
      </c>
      <c r="E31" s="5">
        <f t="shared" si="1"/>
        <v>0.83333333333333337</v>
      </c>
    </row>
    <row r="32" spans="1:5" ht="22" customHeight="1" x14ac:dyDescent="0.25">
      <c r="A32" s="33" t="s">
        <v>141</v>
      </c>
      <c r="B32" s="34"/>
      <c r="C32" s="34"/>
      <c r="D32" s="34"/>
      <c r="E32" s="35"/>
    </row>
    <row r="33" spans="1:5" ht="21" customHeight="1" x14ac:dyDescent="0.25">
      <c r="A33" s="3" t="s">
        <v>142</v>
      </c>
      <c r="B33" s="4">
        <v>526</v>
      </c>
      <c r="C33" s="4">
        <v>25</v>
      </c>
      <c r="D33" s="4">
        <v>20</v>
      </c>
      <c r="E33" s="5">
        <f>IF(AND(C33&lt;&gt;"",D33&lt;&gt;""),D33/C33,"")</f>
        <v>0.8</v>
      </c>
    </row>
    <row r="34" spans="1:5" ht="21" customHeight="1" x14ac:dyDescent="0.25">
      <c r="A34" s="3" t="s">
        <v>143</v>
      </c>
      <c r="B34" s="4">
        <v>526</v>
      </c>
      <c r="C34" s="4">
        <v>20</v>
      </c>
      <c r="D34" s="4">
        <v>16</v>
      </c>
      <c r="E34" s="5">
        <f>IF(AND(C34&lt;&gt;"",D34&lt;&gt;""),D34/C34,"")</f>
        <v>0.8</v>
      </c>
    </row>
    <row r="35" spans="1:5" ht="22" customHeight="1" x14ac:dyDescent="0.25">
      <c r="A35" s="33" t="s">
        <v>144</v>
      </c>
      <c r="B35" s="34"/>
      <c r="C35" s="34"/>
      <c r="D35" s="34"/>
      <c r="E35" s="35"/>
    </row>
    <row r="36" spans="1:5" ht="21" customHeight="1" x14ac:dyDescent="0.25">
      <c r="A36" s="3" t="s">
        <v>145</v>
      </c>
      <c r="B36" s="4">
        <v>526</v>
      </c>
      <c r="C36" s="4">
        <v>4</v>
      </c>
      <c r="D36" s="4">
        <v>4</v>
      </c>
      <c r="E36" s="5">
        <f>IF(AND(C36&lt;&gt;"",D36&lt;&gt;""),D36/C36,"")</f>
        <v>1</v>
      </c>
    </row>
    <row r="37" spans="1:5" ht="21" customHeight="1" x14ac:dyDescent="0.25">
      <c r="A37" s="3" t="s">
        <v>146</v>
      </c>
      <c r="B37" s="4">
        <v>527</v>
      </c>
      <c r="C37" s="4">
        <v>17</v>
      </c>
      <c r="D37" s="4">
        <v>10</v>
      </c>
      <c r="E37" s="5">
        <f>IF(AND(C37&lt;&gt;"",D37&lt;&gt;""),D37/C37,"")</f>
        <v>0.58823529411764708</v>
      </c>
    </row>
    <row r="38" spans="1:5" ht="21" customHeight="1" x14ac:dyDescent="0.25">
      <c r="A38" s="3" t="s">
        <v>147</v>
      </c>
      <c r="B38" s="4">
        <v>528</v>
      </c>
      <c r="C38" s="4">
        <v>55</v>
      </c>
      <c r="D38" s="4">
        <v>33</v>
      </c>
      <c r="E38" s="5">
        <f>IF(AND(C38&lt;&gt;"",D38&lt;&gt;""),D38/C38,"")</f>
        <v>0.6</v>
      </c>
    </row>
    <row r="39" spans="1:5" ht="6" customHeight="1" x14ac:dyDescent="0.25">
      <c r="A39" s="1"/>
      <c r="B39" s="1"/>
      <c r="C39" s="1"/>
      <c r="D39" s="1"/>
      <c r="E39" s="1"/>
    </row>
    <row r="40" spans="1:5" ht="28" customHeight="1" x14ac:dyDescent="0.25">
      <c r="A40" s="15" t="s">
        <v>112</v>
      </c>
      <c r="B40" s="15"/>
      <c r="C40" s="15">
        <f>SUM(C4:C38)</f>
        <v>593</v>
      </c>
      <c r="D40" s="15">
        <f>SUM(D4:D38)</f>
        <v>438</v>
      </c>
      <c r="E40" s="16">
        <f>IF(C40&lt;&gt;"",D40/C40,"")</f>
        <v>0.73861720067453629</v>
      </c>
    </row>
  </sheetData>
  <mergeCells count="8">
    <mergeCell ref="A19:E19"/>
    <mergeCell ref="A4:E4"/>
    <mergeCell ref="A35:E35"/>
    <mergeCell ref="A1:E1"/>
    <mergeCell ref="A24:E24"/>
    <mergeCell ref="A32:E32"/>
    <mergeCell ref="A8:E8"/>
    <mergeCell ref="A12:E12"/>
  </mergeCells>
  <phoneticPr fontId="9" type="noConversion"/>
  <conditionalFormatting sqref="E4:E40">
    <cfRule type="cellIs" dxfId="8" priority="1" operator="greaterThanOrEqual">
      <formula>0.9</formula>
    </cfRule>
    <cfRule type="cellIs" dxfId="7" priority="2" operator="between">
      <formula>0.8</formula>
      <formula>0.9</formula>
    </cfRule>
    <cfRule type="cellIs" dxfId="6" priority="3" operator="lessThan">
      <formula>0.8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5"/>
  <sheetViews>
    <sheetView workbookViewId="0">
      <pane ySplit="3" topLeftCell="A4" activePane="bottomLeft" state="frozen"/>
      <selection pane="bottomLeft"/>
    </sheetView>
  </sheetViews>
  <sheetFormatPr defaultRowHeight="14" x14ac:dyDescent="0.25"/>
  <cols>
    <col min="1" max="1" width="36" customWidth="1"/>
    <col min="2" max="2" width="14" customWidth="1"/>
    <col min="3" max="4" width="12" customWidth="1"/>
    <col min="5" max="5" width="14" customWidth="1"/>
  </cols>
  <sheetData>
    <row r="1" spans="1:5" ht="38" customHeight="1" x14ac:dyDescent="0.25">
      <c r="A1" s="37" t="s">
        <v>148</v>
      </c>
      <c r="B1" s="34"/>
      <c r="C1" s="34"/>
      <c r="D1" s="34"/>
      <c r="E1" s="35"/>
    </row>
    <row r="2" spans="1:5" ht="6" customHeight="1" x14ac:dyDescent="0.25">
      <c r="A2" s="1"/>
      <c r="B2" s="1"/>
      <c r="C2" s="1"/>
      <c r="D2" s="1"/>
      <c r="E2" s="1"/>
    </row>
    <row r="3" spans="1:5" ht="24" customHeight="1" x14ac:dyDescent="0.25">
      <c r="A3" s="2" t="s">
        <v>88</v>
      </c>
      <c r="B3" s="2" t="s">
        <v>19</v>
      </c>
      <c r="C3" s="2" t="s">
        <v>20</v>
      </c>
      <c r="D3" s="2" t="s">
        <v>4</v>
      </c>
      <c r="E3" s="2" t="s">
        <v>5</v>
      </c>
    </row>
    <row r="4" spans="1:5" ht="22" customHeight="1" x14ac:dyDescent="0.25">
      <c r="A4" s="33" t="s">
        <v>149</v>
      </c>
      <c r="B4" s="34"/>
      <c r="C4" s="34"/>
      <c r="D4" s="34"/>
      <c r="E4" s="35"/>
    </row>
    <row r="5" spans="1:5" ht="21" customHeight="1" x14ac:dyDescent="0.25">
      <c r="A5" s="3" t="s">
        <v>150</v>
      </c>
      <c r="B5" s="4"/>
      <c r="C5" s="4"/>
      <c r="D5" s="4"/>
      <c r="E5" s="5" t="str">
        <f>IF(AND(C5&lt;&gt;"",D5&lt;&gt;""),D5/C5,"")</f>
        <v/>
      </c>
    </row>
    <row r="6" spans="1:5" ht="21" customHeight="1" x14ac:dyDescent="0.25">
      <c r="A6" s="3" t="s">
        <v>151</v>
      </c>
      <c r="B6" s="4"/>
      <c r="C6" s="4"/>
      <c r="D6" s="4"/>
      <c r="E6" s="5" t="str">
        <f>IF(AND(C6&lt;&gt;"",D6&lt;&gt;""),D6/C6,"")</f>
        <v/>
      </c>
    </row>
    <row r="7" spans="1:5" ht="22" customHeight="1" x14ac:dyDescent="0.25">
      <c r="A7" s="33" t="s">
        <v>152</v>
      </c>
      <c r="B7" s="34"/>
      <c r="C7" s="34"/>
      <c r="D7" s="34"/>
      <c r="E7" s="35"/>
    </row>
    <row r="8" spans="1:5" ht="21" customHeight="1" x14ac:dyDescent="0.25">
      <c r="A8" s="3" t="s">
        <v>153</v>
      </c>
      <c r="B8" s="4"/>
      <c r="C8" s="4"/>
      <c r="D8" s="4"/>
      <c r="E8" s="5" t="str">
        <f>IF(AND(C8&lt;&gt;"",D8&lt;&gt;""),D8/C8,"")</f>
        <v/>
      </c>
    </row>
    <row r="9" spans="1:5" ht="21" customHeight="1" x14ac:dyDescent="0.25">
      <c r="A9" s="3" t="s">
        <v>154</v>
      </c>
      <c r="B9" s="4"/>
      <c r="C9" s="4"/>
      <c r="D9" s="4"/>
      <c r="E9" s="5" t="str">
        <f>IF(AND(C9&lt;&gt;"",D9&lt;&gt;""),D9/C9,"")</f>
        <v/>
      </c>
    </row>
    <row r="10" spans="1:5" ht="21" customHeight="1" x14ac:dyDescent="0.25">
      <c r="A10" s="3" t="s">
        <v>155</v>
      </c>
      <c r="B10" s="4"/>
      <c r="C10" s="4"/>
      <c r="D10" s="4"/>
      <c r="E10" s="5" t="str">
        <f>IF(AND(C10&lt;&gt;"",D10&lt;&gt;""),D10/C10,"")</f>
        <v/>
      </c>
    </row>
    <row r="11" spans="1:5" ht="22" customHeight="1" x14ac:dyDescent="0.25">
      <c r="A11" s="33" t="s">
        <v>156</v>
      </c>
      <c r="B11" s="34"/>
      <c r="C11" s="34"/>
      <c r="D11" s="34"/>
      <c r="E11" s="35"/>
    </row>
    <row r="12" spans="1:5" ht="21" customHeight="1" x14ac:dyDescent="0.25">
      <c r="A12" s="3" t="s">
        <v>157</v>
      </c>
      <c r="B12" s="4"/>
      <c r="C12" s="4"/>
      <c r="D12" s="4"/>
      <c r="E12" s="5" t="str">
        <f>IF(AND(C12&lt;&gt;"",D12&lt;&gt;""),D12/C12,"")</f>
        <v/>
      </c>
    </row>
    <row r="13" spans="1:5" ht="21" customHeight="1" x14ac:dyDescent="0.25">
      <c r="A13" s="3" t="s">
        <v>158</v>
      </c>
      <c r="B13" s="4"/>
      <c r="C13" s="4"/>
      <c r="D13" s="4"/>
      <c r="E13" s="5" t="str">
        <f>IF(AND(C13&lt;&gt;"",D13&lt;&gt;""),D13/C13,"")</f>
        <v/>
      </c>
    </row>
    <row r="14" spans="1:5" ht="21" customHeight="1" x14ac:dyDescent="0.25">
      <c r="A14" s="3" t="s">
        <v>159</v>
      </c>
      <c r="B14" s="4"/>
      <c r="C14" s="4"/>
      <c r="D14" s="4"/>
      <c r="E14" s="5" t="str">
        <f>IF(AND(C14&lt;&gt;"",D14&lt;&gt;""),D14/C14,"")</f>
        <v/>
      </c>
    </row>
    <row r="15" spans="1:5" ht="21" customHeight="1" x14ac:dyDescent="0.25">
      <c r="A15" s="3" t="s">
        <v>160</v>
      </c>
      <c r="B15" s="4"/>
      <c r="C15" s="4"/>
      <c r="D15" s="4"/>
      <c r="E15" s="5" t="str">
        <f>IF(AND(C15&lt;&gt;"",D15&lt;&gt;""),D15/C15,"")</f>
        <v/>
      </c>
    </row>
    <row r="16" spans="1:5" ht="22" customHeight="1" x14ac:dyDescent="0.25">
      <c r="A16" s="33" t="s">
        <v>161</v>
      </c>
      <c r="B16" s="34"/>
      <c r="C16" s="34"/>
      <c r="D16" s="34"/>
      <c r="E16" s="35"/>
    </row>
    <row r="17" spans="1:5" ht="21" customHeight="1" x14ac:dyDescent="0.25">
      <c r="A17" s="3" t="s">
        <v>162</v>
      </c>
      <c r="B17" s="4"/>
      <c r="C17" s="4"/>
      <c r="D17" s="4"/>
      <c r="E17" s="5" t="str">
        <f>IF(AND(C17&lt;&gt;"",D17&lt;&gt;""),D17/C17,"")</f>
        <v/>
      </c>
    </row>
    <row r="18" spans="1:5" ht="21" customHeight="1" x14ac:dyDescent="0.25">
      <c r="A18" s="3" t="s">
        <v>163</v>
      </c>
      <c r="B18" s="4"/>
      <c r="C18" s="4"/>
      <c r="D18" s="4"/>
      <c r="E18" s="5" t="str">
        <f>IF(AND(C18&lt;&gt;"",D18&lt;&gt;""),D18/C18,"")</f>
        <v/>
      </c>
    </row>
    <row r="19" spans="1:5" ht="22" customHeight="1" x14ac:dyDescent="0.25">
      <c r="A19" s="33" t="s">
        <v>164</v>
      </c>
      <c r="B19" s="34"/>
      <c r="C19" s="34"/>
      <c r="D19" s="34"/>
      <c r="E19" s="35"/>
    </row>
    <row r="20" spans="1:5" ht="21" customHeight="1" x14ac:dyDescent="0.25">
      <c r="A20" s="3" t="s">
        <v>165</v>
      </c>
      <c r="B20" s="4"/>
      <c r="C20" s="4"/>
      <c r="D20" s="4"/>
      <c r="E20" s="5" t="str">
        <f>IF(AND(C20&lt;&gt;"",D20&lt;&gt;""),D20/C20,"")</f>
        <v/>
      </c>
    </row>
    <row r="21" spans="1:5" ht="21" customHeight="1" x14ac:dyDescent="0.25">
      <c r="A21" s="3" t="s">
        <v>166</v>
      </c>
      <c r="B21" s="4"/>
      <c r="C21" s="4"/>
      <c r="D21" s="4"/>
      <c r="E21" s="5" t="str">
        <f>IF(AND(C21&lt;&gt;"",D21&lt;&gt;""),D21/C21,"")</f>
        <v/>
      </c>
    </row>
    <row r="22" spans="1:5" ht="21" customHeight="1" x14ac:dyDescent="0.25">
      <c r="A22" s="3" t="s">
        <v>167</v>
      </c>
      <c r="B22" s="4"/>
      <c r="C22" s="4"/>
      <c r="D22" s="4"/>
      <c r="E22" s="5" t="str">
        <f>IF(AND(C22&lt;&gt;"",D22&lt;&gt;""),D22/C22,"")</f>
        <v/>
      </c>
    </row>
    <row r="23" spans="1:5" ht="21" customHeight="1" x14ac:dyDescent="0.25">
      <c r="A23" s="3" t="s">
        <v>168</v>
      </c>
      <c r="B23" s="4"/>
      <c r="C23" s="4"/>
      <c r="D23" s="4"/>
      <c r="E23" s="5" t="str">
        <f>IF(AND(C23&lt;&gt;"",D23&lt;&gt;""),D23/C23,"")</f>
        <v/>
      </c>
    </row>
    <row r="24" spans="1:5" ht="21" customHeight="1" x14ac:dyDescent="0.25">
      <c r="A24" s="3" t="s">
        <v>169</v>
      </c>
      <c r="B24" s="4"/>
      <c r="C24" s="4"/>
      <c r="D24" s="4"/>
      <c r="E24" s="5" t="str">
        <f>IF(AND(C24&lt;&gt;"",D24&lt;&gt;""),D24/C24,"")</f>
        <v/>
      </c>
    </row>
    <row r="25" spans="1:5" ht="22" customHeight="1" x14ac:dyDescent="0.25">
      <c r="A25" s="33" t="s">
        <v>170</v>
      </c>
      <c r="B25" s="34"/>
      <c r="C25" s="34"/>
      <c r="D25" s="34"/>
      <c r="E25" s="35"/>
    </row>
    <row r="26" spans="1:5" ht="21" customHeight="1" x14ac:dyDescent="0.25">
      <c r="A26" s="3" t="s">
        <v>171</v>
      </c>
      <c r="B26" s="4"/>
      <c r="C26" s="4"/>
      <c r="D26" s="4"/>
      <c r="E26" s="5" t="str">
        <f>IF(AND(C26&lt;&gt;"",D26&lt;&gt;""),D26/C26,"")</f>
        <v/>
      </c>
    </row>
    <row r="27" spans="1:5" ht="21" customHeight="1" x14ac:dyDescent="0.25">
      <c r="A27" s="3" t="s">
        <v>172</v>
      </c>
      <c r="B27" s="4"/>
      <c r="C27" s="4"/>
      <c r="D27" s="4"/>
      <c r="E27" s="5" t="str">
        <f>IF(AND(C27&lt;&gt;"",D27&lt;&gt;""),D27/C27,"")</f>
        <v/>
      </c>
    </row>
    <row r="28" spans="1:5" ht="21" customHeight="1" x14ac:dyDescent="0.25">
      <c r="A28" s="3" t="s">
        <v>173</v>
      </c>
      <c r="B28" s="4"/>
      <c r="C28" s="4"/>
      <c r="D28" s="4"/>
      <c r="E28" s="5" t="str">
        <f>IF(AND(C28&lt;&gt;"",D28&lt;&gt;""),D28/C28,"")</f>
        <v/>
      </c>
    </row>
    <row r="29" spans="1:5" ht="21" customHeight="1" x14ac:dyDescent="0.25">
      <c r="A29" s="3" t="s">
        <v>174</v>
      </c>
      <c r="B29" s="4"/>
      <c r="C29" s="4"/>
      <c r="D29" s="4"/>
      <c r="E29" s="5" t="str">
        <f>IF(AND(C29&lt;&gt;"",D29&lt;&gt;""),D29/C29,"")</f>
        <v/>
      </c>
    </row>
    <row r="30" spans="1:5" ht="22" customHeight="1" x14ac:dyDescent="0.25">
      <c r="A30" s="33" t="s">
        <v>175</v>
      </c>
      <c r="B30" s="34"/>
      <c r="C30" s="34"/>
      <c r="D30" s="34"/>
      <c r="E30" s="35"/>
    </row>
    <row r="31" spans="1:5" ht="21" customHeight="1" x14ac:dyDescent="0.25">
      <c r="A31" s="3" t="s">
        <v>176</v>
      </c>
      <c r="B31" s="4"/>
      <c r="C31" s="4"/>
      <c r="D31" s="4"/>
      <c r="E31" s="5" t="str">
        <f>IF(AND(C31&lt;&gt;"",D31&lt;&gt;""),D31/C31,"")</f>
        <v/>
      </c>
    </row>
    <row r="32" spans="1:5" ht="21" customHeight="1" x14ac:dyDescent="0.25">
      <c r="A32" s="3" t="s">
        <v>177</v>
      </c>
      <c r="B32" s="4"/>
      <c r="C32" s="4"/>
      <c r="D32" s="4"/>
      <c r="E32" s="5" t="str">
        <f>IF(AND(C32&lt;&gt;"",D32&lt;&gt;""),D32/C32,"")</f>
        <v/>
      </c>
    </row>
    <row r="33" spans="1:5" ht="21" customHeight="1" x14ac:dyDescent="0.25">
      <c r="A33" s="3" t="s">
        <v>178</v>
      </c>
      <c r="B33" s="4"/>
      <c r="C33" s="4"/>
      <c r="D33" s="4"/>
      <c r="E33" s="5" t="str">
        <f>IF(AND(C33&lt;&gt;"",D33&lt;&gt;""),D33/C33,"")</f>
        <v/>
      </c>
    </row>
    <row r="34" spans="1:5" ht="21" customHeight="1" x14ac:dyDescent="0.25">
      <c r="A34" s="3" t="s">
        <v>179</v>
      </c>
      <c r="B34" s="4"/>
      <c r="C34" s="4"/>
      <c r="D34" s="4"/>
      <c r="E34" s="5" t="str">
        <f>IF(AND(C34&lt;&gt;"",D34&lt;&gt;""),D34/C34,"")</f>
        <v/>
      </c>
    </row>
    <row r="35" spans="1:5" ht="21" customHeight="1" x14ac:dyDescent="0.25">
      <c r="A35" s="3" t="s">
        <v>180</v>
      </c>
      <c r="B35" s="4"/>
      <c r="C35" s="4"/>
      <c r="D35" s="4"/>
      <c r="E35" s="5" t="str">
        <f>IF(AND(C35&lt;&gt;"",D35&lt;&gt;""),D35/C35,"")</f>
        <v/>
      </c>
    </row>
    <row r="36" spans="1:5" ht="22" customHeight="1" x14ac:dyDescent="0.25">
      <c r="A36" s="33" t="s">
        <v>181</v>
      </c>
      <c r="B36" s="34"/>
      <c r="C36" s="34"/>
      <c r="D36" s="34"/>
      <c r="E36" s="35"/>
    </row>
    <row r="37" spans="1:5" ht="21" customHeight="1" x14ac:dyDescent="0.25">
      <c r="A37" s="3" t="s">
        <v>182</v>
      </c>
      <c r="B37" s="4"/>
      <c r="C37" s="4"/>
      <c r="D37" s="4"/>
      <c r="E37" s="5" t="str">
        <f t="shared" ref="E37:E43" si="0">IF(AND(C37&lt;&gt;"",D37&lt;&gt;""),D37/C37,"")</f>
        <v/>
      </c>
    </row>
    <row r="38" spans="1:5" ht="21" customHeight="1" x14ac:dyDescent="0.25">
      <c r="A38" s="3" t="s">
        <v>183</v>
      </c>
      <c r="B38" s="4"/>
      <c r="C38" s="4"/>
      <c r="D38" s="4"/>
      <c r="E38" s="5" t="str">
        <f t="shared" si="0"/>
        <v/>
      </c>
    </row>
    <row r="39" spans="1:5" ht="21" customHeight="1" x14ac:dyDescent="0.25">
      <c r="A39" s="3" t="s">
        <v>184</v>
      </c>
      <c r="B39" s="4"/>
      <c r="C39" s="4"/>
      <c r="D39" s="4"/>
      <c r="E39" s="5" t="str">
        <f t="shared" si="0"/>
        <v/>
      </c>
    </row>
    <row r="40" spans="1:5" ht="21" customHeight="1" x14ac:dyDescent="0.25">
      <c r="A40" s="3" t="s">
        <v>185</v>
      </c>
      <c r="B40" s="4"/>
      <c r="C40" s="4"/>
      <c r="D40" s="4"/>
      <c r="E40" s="5" t="str">
        <f t="shared" si="0"/>
        <v/>
      </c>
    </row>
    <row r="41" spans="1:5" ht="21" customHeight="1" x14ac:dyDescent="0.25">
      <c r="A41" s="3" t="s">
        <v>186</v>
      </c>
      <c r="B41" s="4"/>
      <c r="C41" s="4"/>
      <c r="D41" s="4"/>
      <c r="E41" s="5" t="str">
        <f t="shared" si="0"/>
        <v/>
      </c>
    </row>
    <row r="42" spans="1:5" ht="21" customHeight="1" x14ac:dyDescent="0.25">
      <c r="A42" s="3" t="s">
        <v>187</v>
      </c>
      <c r="B42" s="4"/>
      <c r="C42" s="4"/>
      <c r="D42" s="4"/>
      <c r="E42" s="5" t="str">
        <f t="shared" si="0"/>
        <v/>
      </c>
    </row>
    <row r="43" spans="1:5" ht="21" customHeight="1" x14ac:dyDescent="0.25">
      <c r="A43" s="3" t="s">
        <v>188</v>
      </c>
      <c r="B43" s="4"/>
      <c r="C43" s="4"/>
      <c r="D43" s="4"/>
      <c r="E43" s="5" t="str">
        <f t="shared" si="0"/>
        <v/>
      </c>
    </row>
    <row r="44" spans="1:5" ht="6" customHeight="1" x14ac:dyDescent="0.25">
      <c r="A44" s="1"/>
      <c r="B44" s="1"/>
      <c r="C44" s="1"/>
      <c r="D44" s="1"/>
      <c r="E44" s="1"/>
    </row>
    <row r="45" spans="1:5" ht="28" customHeight="1" x14ac:dyDescent="0.25">
      <c r="A45" s="15" t="s">
        <v>112</v>
      </c>
      <c r="B45" s="15"/>
      <c r="C45" s="15">
        <f>SUM(C4:C43)</f>
        <v>0</v>
      </c>
      <c r="D45" s="15">
        <f>SUM(D4:D43)</f>
        <v>0</v>
      </c>
      <c r="E45" s="16" t="e">
        <f>IF(C45&lt;&gt;"",D45/C45,"")</f>
        <v>#DIV/0!</v>
      </c>
    </row>
  </sheetData>
  <mergeCells count="9">
    <mergeCell ref="A19:E19"/>
    <mergeCell ref="A25:E25"/>
    <mergeCell ref="A4:E4"/>
    <mergeCell ref="A36:E36"/>
    <mergeCell ref="A1:E1"/>
    <mergeCell ref="A11:E11"/>
    <mergeCell ref="A30:E30"/>
    <mergeCell ref="A7:E7"/>
    <mergeCell ref="A16:E16"/>
  </mergeCells>
  <phoneticPr fontId="9" type="noConversion"/>
  <conditionalFormatting sqref="E4:E45">
    <cfRule type="cellIs" dxfId="5" priority="1" operator="greaterThanOrEqual">
      <formula>0.9</formula>
    </cfRule>
    <cfRule type="cellIs" dxfId="4" priority="2" operator="between">
      <formula>0.8</formula>
      <formula>0.9</formula>
    </cfRule>
    <cfRule type="cellIs" dxfId="3" priority="3" operator="lessThan">
      <formula>0.8</formula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3" topLeftCell="A4" activePane="bottomLeft" state="frozen"/>
      <selection pane="bottomLeft" sqref="A1:E1"/>
    </sheetView>
  </sheetViews>
  <sheetFormatPr defaultRowHeight="14" x14ac:dyDescent="0.25"/>
  <cols>
    <col min="1" max="1" width="36" customWidth="1"/>
    <col min="2" max="2" width="14" customWidth="1"/>
    <col min="3" max="4" width="12" customWidth="1"/>
    <col min="5" max="5" width="14" customWidth="1"/>
  </cols>
  <sheetData>
    <row r="1" spans="1:5" ht="38" customHeight="1" x14ac:dyDescent="0.25">
      <c r="A1" s="37" t="s">
        <v>189</v>
      </c>
      <c r="B1" s="34"/>
      <c r="C1" s="34"/>
      <c r="D1" s="34"/>
      <c r="E1" s="35"/>
    </row>
    <row r="2" spans="1:5" ht="6" customHeight="1" x14ac:dyDescent="0.25">
      <c r="A2" s="1"/>
      <c r="B2" s="1"/>
      <c r="C2" s="1"/>
      <c r="D2" s="1"/>
      <c r="E2" s="1"/>
    </row>
    <row r="3" spans="1:5" ht="24" customHeight="1" x14ac:dyDescent="0.25">
      <c r="A3" s="2" t="s">
        <v>88</v>
      </c>
      <c r="B3" s="2" t="s">
        <v>19</v>
      </c>
      <c r="C3" s="2" t="s">
        <v>20</v>
      </c>
      <c r="D3" s="2" t="s">
        <v>4</v>
      </c>
      <c r="E3" s="2" t="s">
        <v>5</v>
      </c>
    </row>
    <row r="4" spans="1:5" ht="22" customHeight="1" x14ac:dyDescent="0.25">
      <c r="A4" s="33" t="s">
        <v>190</v>
      </c>
      <c r="B4" s="34"/>
      <c r="C4" s="34"/>
      <c r="D4" s="34"/>
      <c r="E4" s="35"/>
    </row>
    <row r="5" spans="1:5" ht="21" customHeight="1" x14ac:dyDescent="0.25">
      <c r="A5" s="3" t="s">
        <v>191</v>
      </c>
      <c r="B5" s="4"/>
      <c r="C5" s="4"/>
      <c r="D5" s="4"/>
      <c r="E5" s="5" t="str">
        <f>IF(AND(C5&lt;&gt;"",D5&lt;&gt;""),D5/C5,"")</f>
        <v/>
      </c>
    </row>
    <row r="6" spans="1:5" ht="21" customHeight="1" x14ac:dyDescent="0.25">
      <c r="A6" s="3" t="s">
        <v>192</v>
      </c>
      <c r="B6" s="4"/>
      <c r="C6" s="4"/>
      <c r="D6" s="4"/>
      <c r="E6" s="5" t="str">
        <f>IF(AND(C6&lt;&gt;"",D6&lt;&gt;""),D6/C6,"")</f>
        <v/>
      </c>
    </row>
    <row r="7" spans="1:5" ht="22" customHeight="1" x14ac:dyDescent="0.25">
      <c r="A7" s="33" t="s">
        <v>193</v>
      </c>
      <c r="B7" s="34"/>
      <c r="C7" s="34"/>
      <c r="D7" s="34"/>
      <c r="E7" s="35"/>
    </row>
    <row r="8" spans="1:5" ht="21" customHeight="1" x14ac:dyDescent="0.25">
      <c r="A8" s="3" t="s">
        <v>194</v>
      </c>
      <c r="B8" s="4"/>
      <c r="C8" s="4"/>
      <c r="D8" s="4"/>
      <c r="E8" s="5" t="str">
        <f>IF(AND(C8&lt;&gt;"",D8&lt;&gt;""),D8/C8,"")</f>
        <v/>
      </c>
    </row>
    <row r="9" spans="1:5" ht="21" customHeight="1" x14ac:dyDescent="0.25">
      <c r="A9" s="3" t="s">
        <v>195</v>
      </c>
      <c r="B9" s="4"/>
      <c r="C9" s="4"/>
      <c r="D9" s="4"/>
      <c r="E9" s="5" t="str">
        <f>IF(AND(C9&lt;&gt;"",D9&lt;&gt;""),D9/C9,"")</f>
        <v/>
      </c>
    </row>
    <row r="10" spans="1:5" ht="21" customHeight="1" x14ac:dyDescent="0.25">
      <c r="A10" s="3" t="s">
        <v>196</v>
      </c>
      <c r="B10" s="4"/>
      <c r="C10" s="4"/>
      <c r="D10" s="4"/>
      <c r="E10" s="5" t="str">
        <f>IF(AND(C10&lt;&gt;"",D10&lt;&gt;""),D10/C10,"")</f>
        <v/>
      </c>
    </row>
    <row r="11" spans="1:5" ht="22" customHeight="1" x14ac:dyDescent="0.25">
      <c r="A11" s="33" t="s">
        <v>197</v>
      </c>
      <c r="B11" s="34"/>
      <c r="C11" s="34"/>
      <c r="D11" s="34"/>
      <c r="E11" s="35"/>
    </row>
    <row r="12" spans="1:5" ht="21" customHeight="1" x14ac:dyDescent="0.25">
      <c r="A12" s="3" t="s">
        <v>198</v>
      </c>
      <c r="B12" s="4"/>
      <c r="C12" s="4"/>
      <c r="D12" s="4"/>
      <c r="E12" s="5" t="str">
        <f t="shared" ref="E12:E19" si="0">IF(AND(C12&lt;&gt;"",D12&lt;&gt;""),D12/C12,"")</f>
        <v/>
      </c>
    </row>
    <row r="13" spans="1:5" ht="21" customHeight="1" x14ac:dyDescent="0.25">
      <c r="A13" s="3" t="s">
        <v>199</v>
      </c>
      <c r="B13" s="4"/>
      <c r="C13" s="4"/>
      <c r="D13" s="4"/>
      <c r="E13" s="5" t="str">
        <f t="shared" si="0"/>
        <v/>
      </c>
    </row>
    <row r="14" spans="1:5" ht="21" customHeight="1" x14ac:dyDescent="0.25">
      <c r="A14" s="3" t="s">
        <v>200</v>
      </c>
      <c r="B14" s="4"/>
      <c r="C14" s="4"/>
      <c r="D14" s="4"/>
      <c r="E14" s="5" t="str">
        <f t="shared" si="0"/>
        <v/>
      </c>
    </row>
    <row r="15" spans="1:5" ht="21" customHeight="1" x14ac:dyDescent="0.25">
      <c r="A15" s="3" t="s">
        <v>201</v>
      </c>
      <c r="B15" s="4"/>
      <c r="C15" s="4"/>
      <c r="D15" s="4"/>
      <c r="E15" s="5" t="str">
        <f t="shared" si="0"/>
        <v/>
      </c>
    </row>
    <row r="16" spans="1:5" ht="21" customHeight="1" x14ac:dyDescent="0.25">
      <c r="A16" s="3" t="s">
        <v>202</v>
      </c>
      <c r="B16" s="4"/>
      <c r="C16" s="4"/>
      <c r="D16" s="4"/>
      <c r="E16" s="5" t="str">
        <f t="shared" si="0"/>
        <v/>
      </c>
    </row>
    <row r="17" spans="1:5" ht="21" customHeight="1" x14ac:dyDescent="0.25">
      <c r="A17" s="3" t="s">
        <v>203</v>
      </c>
      <c r="B17" s="4"/>
      <c r="C17" s="4"/>
      <c r="D17" s="4"/>
      <c r="E17" s="5" t="str">
        <f t="shared" si="0"/>
        <v/>
      </c>
    </row>
    <row r="18" spans="1:5" ht="21" customHeight="1" x14ac:dyDescent="0.25">
      <c r="A18" s="3" t="s">
        <v>204</v>
      </c>
      <c r="B18" s="4"/>
      <c r="C18" s="4"/>
      <c r="D18" s="4"/>
      <c r="E18" s="5" t="str">
        <f t="shared" si="0"/>
        <v/>
      </c>
    </row>
    <row r="19" spans="1:5" ht="21" customHeight="1" x14ac:dyDescent="0.25">
      <c r="A19" s="3" t="s">
        <v>205</v>
      </c>
      <c r="B19" s="4"/>
      <c r="C19" s="4"/>
      <c r="D19" s="4"/>
      <c r="E19" s="5" t="str">
        <f t="shared" si="0"/>
        <v/>
      </c>
    </row>
    <row r="20" spans="1:5" ht="22" customHeight="1" x14ac:dyDescent="0.25">
      <c r="A20" s="33" t="s">
        <v>206</v>
      </c>
      <c r="B20" s="34"/>
      <c r="C20" s="34"/>
      <c r="D20" s="34"/>
      <c r="E20" s="35"/>
    </row>
    <row r="21" spans="1:5" ht="21" customHeight="1" x14ac:dyDescent="0.25">
      <c r="A21" s="3" t="s">
        <v>207</v>
      </c>
      <c r="B21" s="4"/>
      <c r="C21" s="4"/>
      <c r="D21" s="4"/>
      <c r="E21" s="5" t="str">
        <f t="shared" ref="E21:E27" si="1">IF(AND(C21&lt;&gt;"",D21&lt;&gt;""),D21/C21,"")</f>
        <v/>
      </c>
    </row>
    <row r="22" spans="1:5" ht="21" customHeight="1" x14ac:dyDescent="0.25">
      <c r="A22" s="3" t="s">
        <v>208</v>
      </c>
      <c r="B22" s="4"/>
      <c r="C22" s="4"/>
      <c r="D22" s="4"/>
      <c r="E22" s="5" t="str">
        <f t="shared" si="1"/>
        <v/>
      </c>
    </row>
    <row r="23" spans="1:5" ht="21" customHeight="1" x14ac:dyDescent="0.25">
      <c r="A23" s="3" t="s">
        <v>209</v>
      </c>
      <c r="B23" s="4"/>
      <c r="C23" s="4"/>
      <c r="D23" s="4"/>
      <c r="E23" s="5" t="str">
        <f t="shared" si="1"/>
        <v/>
      </c>
    </row>
    <row r="24" spans="1:5" ht="21" customHeight="1" x14ac:dyDescent="0.25">
      <c r="A24" s="3" t="s">
        <v>210</v>
      </c>
      <c r="B24" s="4"/>
      <c r="C24" s="4"/>
      <c r="D24" s="4"/>
      <c r="E24" s="5" t="str">
        <f t="shared" si="1"/>
        <v/>
      </c>
    </row>
    <row r="25" spans="1:5" ht="21" customHeight="1" x14ac:dyDescent="0.25">
      <c r="A25" s="3" t="s">
        <v>211</v>
      </c>
      <c r="B25" s="4"/>
      <c r="C25" s="4"/>
      <c r="D25" s="4"/>
      <c r="E25" s="5" t="str">
        <f t="shared" si="1"/>
        <v/>
      </c>
    </row>
    <row r="26" spans="1:5" ht="21" customHeight="1" x14ac:dyDescent="0.25">
      <c r="A26" s="3" t="s">
        <v>212</v>
      </c>
      <c r="B26" s="4"/>
      <c r="C26" s="4"/>
      <c r="D26" s="4"/>
      <c r="E26" s="5" t="str">
        <f t="shared" si="1"/>
        <v/>
      </c>
    </row>
    <row r="27" spans="1:5" ht="21" customHeight="1" x14ac:dyDescent="0.25">
      <c r="A27" s="3" t="s">
        <v>213</v>
      </c>
      <c r="B27" s="4"/>
      <c r="C27" s="4"/>
      <c r="D27" s="4"/>
      <c r="E27" s="5" t="str">
        <f t="shared" si="1"/>
        <v/>
      </c>
    </row>
    <row r="28" spans="1:5" ht="22" customHeight="1" x14ac:dyDescent="0.25">
      <c r="A28" s="33" t="s">
        <v>214</v>
      </c>
      <c r="B28" s="34"/>
      <c r="C28" s="34"/>
      <c r="D28" s="34"/>
      <c r="E28" s="35"/>
    </row>
    <row r="29" spans="1:5" ht="21" customHeight="1" x14ac:dyDescent="0.25">
      <c r="A29" s="3" t="s">
        <v>215</v>
      </c>
      <c r="B29" s="4"/>
      <c r="C29" s="4"/>
      <c r="D29" s="4"/>
      <c r="E29" s="5" t="str">
        <f>IF(AND(C29&lt;&gt;"",D29&lt;&gt;""),D29/C29,"")</f>
        <v/>
      </c>
    </row>
    <row r="30" spans="1:5" ht="21" customHeight="1" x14ac:dyDescent="0.25">
      <c r="A30" s="3" t="s">
        <v>216</v>
      </c>
      <c r="B30" s="4"/>
      <c r="C30" s="4"/>
      <c r="D30" s="4"/>
      <c r="E30" s="5" t="str">
        <f>IF(AND(C30&lt;&gt;"",D30&lt;&gt;""),D30/C30,"")</f>
        <v/>
      </c>
    </row>
    <row r="31" spans="1:5" ht="21" customHeight="1" x14ac:dyDescent="0.25">
      <c r="A31" s="3" t="s">
        <v>217</v>
      </c>
      <c r="B31" s="4"/>
      <c r="C31" s="4"/>
      <c r="D31" s="4"/>
      <c r="E31" s="5" t="str">
        <f>IF(AND(C31&lt;&gt;"",D31&lt;&gt;""),D31/C31,"")</f>
        <v/>
      </c>
    </row>
    <row r="32" spans="1:5" ht="22" customHeight="1" x14ac:dyDescent="0.25">
      <c r="A32" s="33" t="s">
        <v>218</v>
      </c>
      <c r="B32" s="34"/>
      <c r="C32" s="34"/>
      <c r="D32" s="34"/>
      <c r="E32" s="35"/>
    </row>
    <row r="33" spans="1:5" ht="21" customHeight="1" x14ac:dyDescent="0.25">
      <c r="A33" s="3" t="s">
        <v>219</v>
      </c>
      <c r="B33" s="4"/>
      <c r="C33" s="4"/>
      <c r="D33" s="4"/>
      <c r="E33" s="5" t="str">
        <f>IF(AND(C33&lt;&gt;"",D33&lt;&gt;""),D33/C33,"")</f>
        <v/>
      </c>
    </row>
    <row r="34" spans="1:5" ht="21" customHeight="1" x14ac:dyDescent="0.25">
      <c r="A34" s="3" t="s">
        <v>220</v>
      </c>
      <c r="B34" s="4"/>
      <c r="C34" s="4"/>
      <c r="D34" s="4"/>
      <c r="E34" s="5" t="str">
        <f>IF(AND(C34&lt;&gt;"",D34&lt;&gt;""),D34/C34,"")</f>
        <v/>
      </c>
    </row>
    <row r="35" spans="1:5" ht="21" customHeight="1" x14ac:dyDescent="0.25">
      <c r="A35" s="3" t="s">
        <v>221</v>
      </c>
      <c r="B35" s="4"/>
      <c r="C35" s="4"/>
      <c r="D35" s="4"/>
      <c r="E35" s="5" t="str">
        <f>IF(AND(C35&lt;&gt;"",D35&lt;&gt;""),D35/C35,"")</f>
        <v/>
      </c>
    </row>
    <row r="36" spans="1:5" ht="21" customHeight="1" x14ac:dyDescent="0.25">
      <c r="A36" s="3" t="s">
        <v>222</v>
      </c>
      <c r="B36" s="4"/>
      <c r="C36" s="4"/>
      <c r="D36" s="4"/>
      <c r="E36" s="5" t="str">
        <f>IF(AND(C36&lt;&gt;"",D36&lt;&gt;""),D36/C36,"")</f>
        <v/>
      </c>
    </row>
    <row r="37" spans="1:5" ht="21" customHeight="1" x14ac:dyDescent="0.25">
      <c r="A37" s="3" t="s">
        <v>223</v>
      </c>
      <c r="B37" s="4"/>
      <c r="C37" s="4"/>
      <c r="D37" s="4"/>
      <c r="E37" s="5" t="str">
        <f>IF(AND(C37&lt;&gt;"",D37&lt;&gt;""),D37/C37,"")</f>
        <v/>
      </c>
    </row>
    <row r="38" spans="1:5" ht="6" customHeight="1" x14ac:dyDescent="0.25">
      <c r="A38" s="1"/>
      <c r="B38" s="1"/>
      <c r="C38" s="1"/>
      <c r="D38" s="1"/>
      <c r="E38" s="1"/>
    </row>
    <row r="39" spans="1:5" ht="28" customHeight="1" x14ac:dyDescent="0.25">
      <c r="A39" s="15" t="s">
        <v>112</v>
      </c>
      <c r="B39" s="15"/>
      <c r="C39" s="15">
        <f>SUM(C4:C37)</f>
        <v>0</v>
      </c>
      <c r="D39" s="15">
        <f>SUM(D4:D37)</f>
        <v>0</v>
      </c>
      <c r="E39" s="16" t="e">
        <f>IF(C39&lt;&gt;"",D39/C39,"")</f>
        <v>#DIV/0!</v>
      </c>
    </row>
  </sheetData>
  <mergeCells count="7">
    <mergeCell ref="A28:E28"/>
    <mergeCell ref="A4:E4"/>
    <mergeCell ref="A1:E1"/>
    <mergeCell ref="A32:E32"/>
    <mergeCell ref="A20:E20"/>
    <mergeCell ref="A11:E11"/>
    <mergeCell ref="A7:E7"/>
  </mergeCells>
  <phoneticPr fontId="9" type="noConversion"/>
  <conditionalFormatting sqref="E4:E39">
    <cfRule type="cellIs" dxfId="2" priority="1" operator="greaterThanOrEqual">
      <formula>0.9</formula>
    </cfRule>
    <cfRule type="cellIs" dxfId="1" priority="2" operator="between">
      <formula>0.8</formula>
      <formula>0.9</formula>
    </cfRule>
    <cfRule type="cellIs" dxfId="0" priority="3" operator="lessThan">
      <formula>0.8</formula>
    </cfRule>
  </conditionalFormatting>
  <pageMargins left="0.75" right="0.75" top="1" bottom="1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汇总看板</vt:lpstr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2026-06-08T02:23:23Z</dcterms:created>
  <dcterms:modified xsi:type="dcterms:W3CDTF">2026-06-08T03:53:49Z</dcterms:modified>
</cp:coreProperties>
</file>