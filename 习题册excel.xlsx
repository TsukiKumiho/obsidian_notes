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4E458576-A84E-47EC-B472-1B2220B2F11F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汇总看板" sheetId="1" r:id="rId1"/>
    <sheet name="张宇1000题" sheetId="2" r:id="rId2"/>
    <sheet name="王道操作系统" sheetId="3" r:id="rId3"/>
    <sheet name="王道计组" sheetId="4" r:id="rId4"/>
    <sheet name="王道数据结构" sheetId="5" r:id="rId5"/>
    <sheet name="王道计网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E38" i="4"/>
  <c r="E37" i="4"/>
  <c r="E35" i="4"/>
  <c r="E34" i="4"/>
  <c r="E32" i="4"/>
  <c r="E31" i="4"/>
  <c r="E30" i="4"/>
  <c r="E29" i="4"/>
  <c r="E28" i="4"/>
  <c r="E27" i="4"/>
  <c r="E26" i="4"/>
  <c r="E24" i="4"/>
  <c r="E23" i="4"/>
  <c r="E22" i="4"/>
  <c r="E21" i="4"/>
  <c r="E19" i="4"/>
  <c r="E18" i="4"/>
  <c r="E17" i="4"/>
  <c r="E16" i="4"/>
  <c r="E15" i="4"/>
  <c r="E14" i="4"/>
  <c r="E12" i="4"/>
  <c r="E11" i="4"/>
  <c r="E10" i="4"/>
  <c r="E8" i="4"/>
  <c r="E7" i="4"/>
  <c r="E6" i="4"/>
  <c r="E16" i="3"/>
  <c r="E15" i="3"/>
  <c r="E14" i="3"/>
  <c r="E13" i="3"/>
  <c r="E11" i="3"/>
  <c r="E10" i="3"/>
  <c r="E9" i="3"/>
  <c r="E8" i="3"/>
  <c r="E7" i="3"/>
  <c r="E6" i="3"/>
  <c r="E16" i="2"/>
  <c r="E15" i="2"/>
  <c r="E14" i="2"/>
  <c r="E13" i="2"/>
  <c r="E12" i="2"/>
  <c r="E11" i="2"/>
  <c r="E10" i="2"/>
  <c r="E9" i="2"/>
  <c r="E8" i="2"/>
  <c r="E7" i="2"/>
  <c r="E6" i="2"/>
  <c r="H39" i="6" l="1"/>
  <c r="G39" i="6"/>
  <c r="C41" i="6" s="1"/>
  <c r="D39" i="6"/>
  <c r="D41" i="6" s="1"/>
  <c r="D12" i="1" s="1"/>
  <c r="C25" i="1" s="1"/>
  <c r="C39" i="6"/>
  <c r="E39" i="6" s="1"/>
  <c r="I38" i="6"/>
  <c r="C72" i="6" s="1"/>
  <c r="E38" i="6"/>
  <c r="B72" i="6" s="1"/>
  <c r="I37" i="6"/>
  <c r="C71" i="6" s="1"/>
  <c r="E37" i="6"/>
  <c r="B71" i="6" s="1"/>
  <c r="I36" i="6"/>
  <c r="C70" i="6" s="1"/>
  <c r="E36" i="6"/>
  <c r="B70" i="6" s="1"/>
  <c r="I35" i="6"/>
  <c r="C69" i="6" s="1"/>
  <c r="E35" i="6"/>
  <c r="B69" i="6" s="1"/>
  <c r="I34" i="6"/>
  <c r="C68" i="6" s="1"/>
  <c r="E34" i="6"/>
  <c r="B68" i="6" s="1"/>
  <c r="I32" i="6"/>
  <c r="C67" i="6" s="1"/>
  <c r="E32" i="6"/>
  <c r="B67" i="6" s="1"/>
  <c r="I31" i="6"/>
  <c r="C66" i="6" s="1"/>
  <c r="E31" i="6"/>
  <c r="B66" i="6" s="1"/>
  <c r="I30" i="6"/>
  <c r="C65" i="6" s="1"/>
  <c r="E30" i="6"/>
  <c r="B65" i="6" s="1"/>
  <c r="I28" i="6"/>
  <c r="C64" i="6" s="1"/>
  <c r="E28" i="6"/>
  <c r="B64" i="6" s="1"/>
  <c r="I27" i="6"/>
  <c r="C63" i="6" s="1"/>
  <c r="E27" i="6"/>
  <c r="B63" i="6" s="1"/>
  <c r="I26" i="6"/>
  <c r="C62" i="6" s="1"/>
  <c r="E26" i="6"/>
  <c r="B62" i="6" s="1"/>
  <c r="I25" i="6"/>
  <c r="C61" i="6" s="1"/>
  <c r="E25" i="6"/>
  <c r="B61" i="6" s="1"/>
  <c r="I24" i="6"/>
  <c r="C60" i="6" s="1"/>
  <c r="E24" i="6"/>
  <c r="B60" i="6" s="1"/>
  <c r="I23" i="6"/>
  <c r="C59" i="6" s="1"/>
  <c r="E23" i="6"/>
  <c r="B59" i="6" s="1"/>
  <c r="I22" i="6"/>
  <c r="C58" i="6" s="1"/>
  <c r="E22" i="6"/>
  <c r="B58" i="6" s="1"/>
  <c r="I20" i="6"/>
  <c r="C57" i="6" s="1"/>
  <c r="E20" i="6"/>
  <c r="B57" i="6" s="1"/>
  <c r="I19" i="6"/>
  <c r="C56" i="6" s="1"/>
  <c r="E19" i="6"/>
  <c r="B56" i="6" s="1"/>
  <c r="I18" i="6"/>
  <c r="C55" i="6" s="1"/>
  <c r="E18" i="6"/>
  <c r="B55" i="6" s="1"/>
  <c r="I17" i="6"/>
  <c r="C54" i="6" s="1"/>
  <c r="E17" i="6"/>
  <c r="B54" i="6" s="1"/>
  <c r="I16" i="6"/>
  <c r="C53" i="6" s="1"/>
  <c r="E16" i="6"/>
  <c r="B53" i="6" s="1"/>
  <c r="I15" i="6"/>
  <c r="C52" i="6" s="1"/>
  <c r="E15" i="6"/>
  <c r="B52" i="6" s="1"/>
  <c r="I14" i="6"/>
  <c r="C51" i="6" s="1"/>
  <c r="E14" i="6"/>
  <c r="B51" i="6" s="1"/>
  <c r="I13" i="6"/>
  <c r="C50" i="6" s="1"/>
  <c r="E13" i="6"/>
  <c r="B50" i="6" s="1"/>
  <c r="I11" i="6"/>
  <c r="C49" i="6" s="1"/>
  <c r="E11" i="6"/>
  <c r="B49" i="6" s="1"/>
  <c r="I10" i="6"/>
  <c r="C48" i="6" s="1"/>
  <c r="E10" i="6"/>
  <c r="B48" i="6" s="1"/>
  <c r="I9" i="6"/>
  <c r="C47" i="6" s="1"/>
  <c r="E9" i="6"/>
  <c r="B47" i="6" s="1"/>
  <c r="I7" i="6"/>
  <c r="C46" i="6" s="1"/>
  <c r="E7" i="6"/>
  <c r="B46" i="6" s="1"/>
  <c r="I6" i="6"/>
  <c r="C45" i="6" s="1"/>
  <c r="E6" i="6"/>
  <c r="B45" i="6" s="1"/>
  <c r="C82" i="5"/>
  <c r="C80" i="5"/>
  <c r="B80" i="5"/>
  <c r="C79" i="5"/>
  <c r="B79" i="5"/>
  <c r="C76" i="5"/>
  <c r="B75" i="5"/>
  <c r="C74" i="5"/>
  <c r="C72" i="5"/>
  <c r="C70" i="5"/>
  <c r="B70" i="5"/>
  <c r="C69" i="5"/>
  <c r="B69" i="5"/>
  <c r="C66" i="5"/>
  <c r="B65" i="5"/>
  <c r="C64" i="5"/>
  <c r="C62" i="5"/>
  <c r="C60" i="5"/>
  <c r="B60" i="5"/>
  <c r="C59" i="5"/>
  <c r="B59" i="5"/>
  <c r="C56" i="5"/>
  <c r="B55" i="5"/>
  <c r="C54" i="5"/>
  <c r="C52" i="5"/>
  <c r="I45" i="5"/>
  <c r="H45" i="5"/>
  <c r="G45" i="5"/>
  <c r="D45" i="5"/>
  <c r="D47" i="5" s="1"/>
  <c r="D11" i="1" s="1"/>
  <c r="C24" i="1" s="1"/>
  <c r="C45" i="5"/>
  <c r="I44" i="5"/>
  <c r="E44" i="5"/>
  <c r="B82" i="5" s="1"/>
  <c r="I43" i="5"/>
  <c r="C81" i="5" s="1"/>
  <c r="E43" i="5"/>
  <c r="B81" i="5" s="1"/>
  <c r="I42" i="5"/>
  <c r="E42" i="5"/>
  <c r="I41" i="5"/>
  <c r="E41" i="5"/>
  <c r="I40" i="5"/>
  <c r="C78" i="5" s="1"/>
  <c r="E40" i="5"/>
  <c r="B78" i="5" s="1"/>
  <c r="I39" i="5"/>
  <c r="C77" i="5" s="1"/>
  <c r="E39" i="5"/>
  <c r="B77" i="5" s="1"/>
  <c r="I38" i="5"/>
  <c r="E38" i="5"/>
  <c r="B76" i="5" s="1"/>
  <c r="I36" i="5"/>
  <c r="C75" i="5" s="1"/>
  <c r="E36" i="5"/>
  <c r="I35" i="5"/>
  <c r="E35" i="5"/>
  <c r="B74" i="5" s="1"/>
  <c r="I34" i="5"/>
  <c r="C73" i="5" s="1"/>
  <c r="E34" i="5"/>
  <c r="B73" i="5" s="1"/>
  <c r="I33" i="5"/>
  <c r="E33" i="5"/>
  <c r="B72" i="5" s="1"/>
  <c r="I32" i="5"/>
  <c r="C71" i="5" s="1"/>
  <c r="E32" i="5"/>
  <c r="B71" i="5" s="1"/>
  <c r="I30" i="5"/>
  <c r="E30" i="5"/>
  <c r="I29" i="5"/>
  <c r="E29" i="5"/>
  <c r="I28" i="5"/>
  <c r="C68" i="5" s="1"/>
  <c r="E28" i="5"/>
  <c r="B68" i="5" s="1"/>
  <c r="I27" i="5"/>
  <c r="C67" i="5" s="1"/>
  <c r="E27" i="5"/>
  <c r="B67" i="5" s="1"/>
  <c r="I25" i="5"/>
  <c r="E25" i="5"/>
  <c r="B66" i="5" s="1"/>
  <c r="I24" i="5"/>
  <c r="C65" i="5" s="1"/>
  <c r="E24" i="5"/>
  <c r="I23" i="5"/>
  <c r="E23" i="5"/>
  <c r="B64" i="5" s="1"/>
  <c r="I22" i="5"/>
  <c r="C63" i="5" s="1"/>
  <c r="E22" i="5"/>
  <c r="B63" i="5" s="1"/>
  <c r="I21" i="5"/>
  <c r="E21" i="5"/>
  <c r="B62" i="5" s="1"/>
  <c r="I19" i="5"/>
  <c r="C61" i="5" s="1"/>
  <c r="E19" i="5"/>
  <c r="B61" i="5" s="1"/>
  <c r="I18" i="5"/>
  <c r="E18" i="5"/>
  <c r="I16" i="5"/>
  <c r="E16" i="5"/>
  <c r="I15" i="5"/>
  <c r="C58" i="5" s="1"/>
  <c r="E15" i="5"/>
  <c r="B58" i="5" s="1"/>
  <c r="I14" i="5"/>
  <c r="C57" i="5" s="1"/>
  <c r="E14" i="5"/>
  <c r="B57" i="5" s="1"/>
  <c r="I13" i="5"/>
  <c r="E13" i="5"/>
  <c r="B56" i="5" s="1"/>
  <c r="I11" i="5"/>
  <c r="C55" i="5" s="1"/>
  <c r="E11" i="5"/>
  <c r="I10" i="5"/>
  <c r="E10" i="5"/>
  <c r="B54" i="5" s="1"/>
  <c r="I9" i="5"/>
  <c r="C53" i="5" s="1"/>
  <c r="E9" i="5"/>
  <c r="B53" i="5" s="1"/>
  <c r="I7" i="5"/>
  <c r="E7" i="5"/>
  <c r="B52" i="5" s="1"/>
  <c r="I6" i="5"/>
  <c r="C51" i="5" s="1"/>
  <c r="E6" i="5"/>
  <c r="B51" i="5" s="1"/>
  <c r="B72" i="4"/>
  <c r="C71" i="4"/>
  <c r="B71" i="4"/>
  <c r="C70" i="4"/>
  <c r="B70" i="4"/>
  <c r="B66" i="4"/>
  <c r="C65" i="4"/>
  <c r="B65" i="4"/>
  <c r="C64" i="4"/>
  <c r="B64" i="4"/>
  <c r="B62" i="4"/>
  <c r="C61" i="4"/>
  <c r="B61" i="4"/>
  <c r="C60" i="4"/>
  <c r="B60" i="4"/>
  <c r="B56" i="4"/>
  <c r="C55" i="4"/>
  <c r="B55" i="4"/>
  <c r="C54" i="4"/>
  <c r="B54" i="4"/>
  <c r="B52" i="4"/>
  <c r="C51" i="4"/>
  <c r="B51" i="4"/>
  <c r="C50" i="4"/>
  <c r="B50" i="4"/>
  <c r="B46" i="4"/>
  <c r="I40" i="4"/>
  <c r="H40" i="4"/>
  <c r="G40" i="4"/>
  <c r="D40" i="4"/>
  <c r="D42" i="4" s="1"/>
  <c r="D10" i="1" s="1"/>
  <c r="C23" i="1" s="1"/>
  <c r="C40" i="4"/>
  <c r="E40" i="4" s="1"/>
  <c r="I39" i="4"/>
  <c r="C73" i="4" s="1"/>
  <c r="B73" i="4"/>
  <c r="I38" i="4"/>
  <c r="C72" i="4" s="1"/>
  <c r="I37" i="4"/>
  <c r="I35" i="4"/>
  <c r="I34" i="4"/>
  <c r="C69" i="4" s="1"/>
  <c r="B69" i="4"/>
  <c r="I32" i="4"/>
  <c r="C68" i="4" s="1"/>
  <c r="B68" i="4"/>
  <c r="I31" i="4"/>
  <c r="C67" i="4" s="1"/>
  <c r="B67" i="4"/>
  <c r="I30" i="4"/>
  <c r="C66" i="4" s="1"/>
  <c r="I29" i="4"/>
  <c r="I28" i="4"/>
  <c r="I27" i="4"/>
  <c r="C63" i="4" s="1"/>
  <c r="B63" i="4"/>
  <c r="I26" i="4"/>
  <c r="C62" i="4" s="1"/>
  <c r="I24" i="4"/>
  <c r="I23" i="4"/>
  <c r="I22" i="4"/>
  <c r="C59" i="4" s="1"/>
  <c r="B59" i="4"/>
  <c r="I21" i="4"/>
  <c r="C58" i="4" s="1"/>
  <c r="B58" i="4"/>
  <c r="I19" i="4"/>
  <c r="C57" i="4" s="1"/>
  <c r="B57" i="4"/>
  <c r="I18" i="4"/>
  <c r="C56" i="4" s="1"/>
  <c r="I17" i="4"/>
  <c r="I16" i="4"/>
  <c r="I15" i="4"/>
  <c r="C53" i="4" s="1"/>
  <c r="B53" i="4"/>
  <c r="I14" i="4"/>
  <c r="C52" i="4" s="1"/>
  <c r="I12" i="4"/>
  <c r="I11" i="4"/>
  <c r="I10" i="4"/>
  <c r="C49" i="4" s="1"/>
  <c r="B49" i="4"/>
  <c r="I8" i="4"/>
  <c r="C48" i="4" s="1"/>
  <c r="B48" i="4"/>
  <c r="I7" i="4"/>
  <c r="C47" i="4" s="1"/>
  <c r="B47" i="4"/>
  <c r="I6" i="4"/>
  <c r="C46" i="4" s="1"/>
  <c r="C50" i="3"/>
  <c r="B50" i="3"/>
  <c r="C49" i="3"/>
  <c r="B49" i="3"/>
  <c r="C48" i="3"/>
  <c r="C44" i="3"/>
  <c r="B44" i="3"/>
  <c r="C43" i="3"/>
  <c r="B43" i="3"/>
  <c r="C42" i="3"/>
  <c r="C40" i="3"/>
  <c r="B40" i="3"/>
  <c r="C39" i="3"/>
  <c r="B39" i="3"/>
  <c r="C38" i="3"/>
  <c r="C34" i="3"/>
  <c r="B34" i="3"/>
  <c r="H28" i="3"/>
  <c r="G28" i="3"/>
  <c r="I28" i="3" s="1"/>
  <c r="D28" i="3"/>
  <c r="D30" i="3" s="1"/>
  <c r="D9" i="1" s="1"/>
  <c r="C28" i="3"/>
  <c r="I27" i="3"/>
  <c r="C51" i="3" s="1"/>
  <c r="E27" i="3"/>
  <c r="B51" i="3" s="1"/>
  <c r="I26" i="3"/>
  <c r="E26" i="3"/>
  <c r="I25" i="3"/>
  <c r="E25" i="3"/>
  <c r="I23" i="3"/>
  <c r="E23" i="3"/>
  <c r="B48" i="3" s="1"/>
  <c r="I22" i="3"/>
  <c r="C47" i="3" s="1"/>
  <c r="E22" i="3"/>
  <c r="B47" i="3" s="1"/>
  <c r="I21" i="3"/>
  <c r="C46" i="3" s="1"/>
  <c r="E21" i="3"/>
  <c r="B46" i="3" s="1"/>
  <c r="I19" i="3"/>
  <c r="C45" i="3" s="1"/>
  <c r="E19" i="3"/>
  <c r="B45" i="3" s="1"/>
  <c r="I18" i="3"/>
  <c r="E18" i="3"/>
  <c r="I16" i="3"/>
  <c r="I15" i="3"/>
  <c r="B42" i="3"/>
  <c r="I14" i="3"/>
  <c r="C41" i="3" s="1"/>
  <c r="B41" i="3"/>
  <c r="I13" i="3"/>
  <c r="I11" i="3"/>
  <c r="I10" i="3"/>
  <c r="B38" i="3"/>
  <c r="I9" i="3"/>
  <c r="C37" i="3" s="1"/>
  <c r="B37" i="3"/>
  <c r="I8" i="3"/>
  <c r="C36" i="3" s="1"/>
  <c r="B36" i="3"/>
  <c r="I7" i="3"/>
  <c r="C35" i="3" s="1"/>
  <c r="B35" i="3"/>
  <c r="I6" i="3"/>
  <c r="B279" i="2"/>
  <c r="B278" i="2"/>
  <c r="B277" i="2"/>
  <c r="B276" i="2"/>
  <c r="B274" i="2"/>
  <c r="B273" i="2"/>
  <c r="B256" i="2"/>
  <c r="B255" i="2"/>
  <c r="B254" i="2"/>
  <c r="B253" i="2"/>
  <c r="B252" i="2"/>
  <c r="B251" i="2"/>
  <c r="B250" i="2"/>
  <c r="B249" i="2"/>
  <c r="B248" i="2"/>
  <c r="B228" i="2"/>
  <c r="B227" i="2"/>
  <c r="B226" i="2"/>
  <c r="B225" i="2"/>
  <c r="B224" i="2"/>
  <c r="B223" i="2"/>
  <c r="B222" i="2"/>
  <c r="B221" i="2"/>
  <c r="B220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63" i="2"/>
  <c r="B162" i="2"/>
  <c r="B161" i="2"/>
  <c r="B160" i="2"/>
  <c r="B159" i="2"/>
  <c r="B158" i="2"/>
  <c r="B138" i="2"/>
  <c r="B137" i="2"/>
  <c r="B136" i="2"/>
  <c r="B135" i="2"/>
  <c r="B134" i="2"/>
  <c r="B133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E89" i="2"/>
  <c r="D89" i="2"/>
  <c r="C89" i="2"/>
  <c r="E88" i="2"/>
  <c r="E87" i="2"/>
  <c r="E86" i="2"/>
  <c r="E85" i="2"/>
  <c r="E83" i="2"/>
  <c r="E82" i="2"/>
  <c r="E81" i="2"/>
  <c r="E80" i="2"/>
  <c r="E79" i="2"/>
  <c r="E78" i="2"/>
  <c r="E77" i="2"/>
  <c r="E76" i="2"/>
  <c r="E75" i="2"/>
  <c r="E73" i="2"/>
  <c r="E72" i="2"/>
  <c r="E71" i="2"/>
  <c r="E70" i="2"/>
  <c r="E69" i="2"/>
  <c r="E68" i="2"/>
  <c r="E67" i="2"/>
  <c r="E66" i="2"/>
  <c r="E65" i="2"/>
  <c r="D61" i="2"/>
  <c r="C61" i="2"/>
  <c r="E61" i="2" s="1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D39" i="2"/>
  <c r="D91" i="2" s="1"/>
  <c r="D5" i="1" s="1"/>
  <c r="C39" i="2"/>
  <c r="C91" i="2" s="1"/>
  <c r="E38" i="2"/>
  <c r="E37" i="2"/>
  <c r="E36" i="2"/>
  <c r="E35" i="2"/>
  <c r="E34" i="2"/>
  <c r="E33" i="2"/>
  <c r="E31" i="2"/>
  <c r="E30" i="2"/>
  <c r="E29" i="2"/>
  <c r="E28" i="2"/>
  <c r="E27" i="2"/>
  <c r="E26" i="2"/>
  <c r="E24" i="2"/>
  <c r="E23" i="2"/>
  <c r="E22" i="2"/>
  <c r="E21" i="2"/>
  <c r="E20" i="2"/>
  <c r="E19" i="2"/>
  <c r="E18" i="2"/>
  <c r="E17" i="2"/>
  <c r="B5" i="1"/>
  <c r="B6" i="1" s="1"/>
  <c r="E28" i="3" l="1"/>
  <c r="C42" i="4"/>
  <c r="C10" i="1" s="1"/>
  <c r="E10" i="1" s="1"/>
  <c r="D23" i="1" s="1"/>
  <c r="C30" i="3"/>
  <c r="C9" i="1" s="1"/>
  <c r="E9" i="1" s="1"/>
  <c r="D22" i="1" s="1"/>
  <c r="F6" i="1"/>
  <c r="E31" i="1" s="1"/>
  <c r="C12" i="1"/>
  <c r="E41" i="6"/>
  <c r="B12" i="1"/>
  <c r="F12" i="1" s="1"/>
  <c r="E25" i="1" s="1"/>
  <c r="E91" i="2"/>
  <c r="E5" i="1" s="1"/>
  <c r="D21" i="1" s="1"/>
  <c r="C5" i="1"/>
  <c r="D6" i="1"/>
  <c r="C21" i="1"/>
  <c r="D13" i="1"/>
  <c r="C32" i="1" s="1"/>
  <c r="C22" i="1"/>
  <c r="F5" i="1"/>
  <c r="E21" i="1" s="1"/>
  <c r="I39" i="6"/>
  <c r="E39" i="2"/>
  <c r="E30" i="3"/>
  <c r="E42" i="4"/>
  <c r="B9" i="1"/>
  <c r="E45" i="5"/>
  <c r="B10" i="1"/>
  <c r="F10" i="1" s="1"/>
  <c r="E23" i="1" s="1"/>
  <c r="C47" i="5"/>
  <c r="B11" i="1" s="1"/>
  <c r="F11" i="1" s="1"/>
  <c r="E24" i="1" s="1"/>
  <c r="B22" i="1" l="1"/>
  <c r="B23" i="1"/>
  <c r="B25" i="1"/>
  <c r="E12" i="1"/>
  <c r="D25" i="1" s="1"/>
  <c r="C6" i="1"/>
  <c r="B21" i="1"/>
  <c r="C11" i="1"/>
  <c r="E47" i="5"/>
  <c r="B13" i="1"/>
  <c r="F9" i="1"/>
  <c r="E22" i="1" s="1"/>
  <c r="D15" i="1"/>
  <c r="C31" i="1"/>
  <c r="F13" i="1" l="1"/>
  <c r="E32" i="1" s="1"/>
  <c r="B15" i="1"/>
  <c r="F15" i="1" s="1"/>
  <c r="B24" i="1"/>
  <c r="E11" i="1"/>
  <c r="D24" i="1" s="1"/>
  <c r="C13" i="1"/>
  <c r="C15" i="1"/>
  <c r="E15" i="1" s="1"/>
  <c r="E6" i="1"/>
  <c r="D31" i="1" s="1"/>
  <c r="B31" i="1"/>
  <c r="E13" i="1" l="1"/>
  <c r="D32" i="1" s="1"/>
  <c r="B32" i="1"/>
</calcChain>
</file>

<file path=xl/sharedStrings.xml><?xml version="1.0" encoding="utf-8"?>
<sst xmlns="http://schemas.openxmlformats.org/spreadsheetml/2006/main" count="516" uniqueCount="241">
  <si>
    <t>数学一 + 408 习题册正确率看板</t>
  </si>
  <si>
    <t>科目</t>
  </si>
  <si>
    <t>已完成小节</t>
  </si>
  <si>
    <t>总题数</t>
  </si>
  <si>
    <t>正确数</t>
  </si>
  <si>
    <t>正确率</t>
  </si>
  <si>
    <t>进度</t>
  </si>
  <si>
    <t>数学一</t>
  </si>
  <si>
    <t xml:space="preserve">  张宇1000题</t>
  </si>
  <si>
    <t xml:space="preserve">  数学一小计</t>
  </si>
  <si>
    <t>408 计算机统考</t>
  </si>
  <si>
    <t xml:space="preserve">  操作系统</t>
  </si>
  <si>
    <t xml:space="preserve">  计算机组成原理</t>
  </si>
  <si>
    <t xml:space="preserve">  数据结构</t>
  </si>
  <si>
    <t xml:space="preserve">  计算机网络</t>
  </si>
  <si>
    <t xml:space="preserve">  408小计</t>
  </si>
  <si>
    <t xml:space="preserve">  合  计</t>
  </si>
  <si>
    <t>张宇1000题</t>
  </si>
  <si>
    <t>操作系统</t>
  </si>
  <si>
    <t>计组</t>
  </si>
  <si>
    <t>数据结构</t>
  </si>
  <si>
    <t>计网</t>
  </si>
  <si>
    <t>分类</t>
  </si>
  <si>
    <t>408统考</t>
  </si>
  <si>
    <t>张宇1000题 习题册正确率记录</t>
  </si>
  <si>
    <t>章节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</si>
  <si>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</si>
  <si>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</si>
  <si>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</si>
  <si>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</si>
  <si>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</si>
  <si>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</si>
  <si>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</si>
  <si>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</si>
  <si>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</si>
  <si>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</si>
  <si>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</si>
  <si>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</si>
  <si>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</si>
  <si>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</si>
  <si>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</si>
  <si>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</si>
  <si>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</si>
  <si>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</si>
  <si>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</si>
  <si>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</si>
  <si>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</si>
  <si>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</si>
  <si>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</si>
  <si>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</si>
  <si>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</si>
  <si>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</si>
  <si>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</si>
  <si>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</si>
  <si>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</si>
  <si>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</si>
  <si>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</si>
  <si>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</si>
  <si>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</si>
  <si>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</si>
  <si>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</si>
  <si>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</si>
  <si>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</si>
  <si>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</si>
  <si>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</si>
  <si>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</si>
  <si>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</si>
  <si>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</si>
  <si>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</si>
  <si>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</si>
  <si>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</si>
  <si>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</si>
  <si>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</si>
  <si>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</si>
  <si>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</si>
  <si>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</si>
  <si>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</si>
  <si>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</si>
  <si>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</si>
  <si>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</si>
  <si>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</si>
  <si>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</si>
  <si>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</si>
  <si>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</si>
  <si>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</si>
  <si>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</si>
  <si>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</si>
  <si>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</si>
  <si>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</si>
  <si>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</si>
  <si>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基础篇-高等数学</t>
  </si>
  <si>
    <t>基础篇-线性代数</t>
  </si>
  <si>
    <t>基础篇-概率统计</t>
  </si>
  <si>
    <t>强化篇-高等数学</t>
  </si>
  <si>
    <t>综合篇-线性代数</t>
  </si>
  <si>
    <t>综合篇-概率统计</t>
  </si>
  <si>
    <t>综合篇-综合测试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</si>
  <si>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</si>
  <si>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</si>
  <si>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</si>
  <si>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</si>
  <si>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</si>
  <si>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</si>
  <si>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</si>
  <si>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</si>
  <si>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</si>
  <si>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</si>
  <si>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</si>
  <si>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</si>
  <si>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</si>
  <si>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</si>
  <si>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</si>
  <si>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</si>
  <si>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</si>
  <si>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</si>
  <si>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</si>
  <si>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</si>
  <si>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</si>
  <si>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</si>
  <si>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</si>
  <si>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</si>
  <si>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</si>
  <si>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</si>
  <si>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</si>
  <si>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</si>
  <si>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</si>
  <si>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</si>
  <si>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</si>
  <si>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一刷正确率</t>
  </si>
  <si>
    <t>二刷正确率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</si>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</sst>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1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5" fillId="6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7" fillId="0" borderId="0" xfId="0" applyFont="1"/>
    <xf numFmtId="0" fontId="6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9" fillId="7" borderId="4" xfId="0" applyFont="1" applyFill="1" applyBorder="1" applyAlignment="1">
      <alignment horizontal="center" vertical="center" wrapText="1"/>
    </xf>
    <xf numFmtId="176" fontId="9" fillId="7" borderId="4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总题数 </a:t>
            </a:r>
            <a:r>
              <a:rPr lang="en-US"/>
              <a:t>vs </a:t>
            </a:r>
            <a:r>
              <a:rPr lang="zh-CN" altLang="en-US"/>
              <a:t>正确数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汇总看板!$B$20</c:f>
              <c:strCache>
                <c:ptCount val="1"/>
                <c:pt idx="0">
                  <c:v>总题数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汇总看板!$B$21:$B$25</c:f>
              <c:numCache>
                <c:formatCode>General</c:formatCode>
                <c:ptCount val="5"/>
                <c:pt idx="0">
                  <c:v>204</c:v>
                </c:pt>
                <c:pt idx="1">
                  <c:v>361</c:v>
                </c:pt>
                <c:pt idx="2">
                  <c:v>593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7C-4041-9D5B-15CA39061C2E}"/>
            </c:ext>
          </c:extLst>
        </c:ser>
        <c:ser>
          <c:idx val="1"/>
          <c:order val="1"/>
          <c:tx>
            <c:strRef>
              <c:f>汇总看板!$C$20</c:f>
              <c:strCache>
                <c:ptCount val="1"/>
                <c:pt idx="0">
                  <c:v>正确数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汇总看板!$C$21:$C$25</c:f>
              <c:numCache>
                <c:formatCode>General</c:formatCode>
                <c:ptCount val="5"/>
                <c:pt idx="0">
                  <c:v>168</c:v>
                </c:pt>
                <c:pt idx="1">
                  <c:v>274</c:v>
                </c:pt>
                <c:pt idx="2">
                  <c:v>438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7C-4041-9D5B-15CA39061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题数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汇总看板!$D$20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汇总看板!$D$21:$D$25</c:f>
              <c:numCache>
                <c:formatCode>General</c:formatCode>
                <c:ptCount val="5"/>
                <c:pt idx="0">
                  <c:v>0.82352941176470584</c:v>
                </c:pt>
                <c:pt idx="1">
                  <c:v>0.75900277008310246</c:v>
                </c:pt>
                <c:pt idx="2">
                  <c:v>0.73861720067453629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87-4EF2-A9D4-5808C40D0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各科目 完成进度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汇总看板!$E$20</c:f>
              <c:strCache>
                <c:ptCount val="1"/>
                <c:pt idx="0">
                  <c:v>进度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汇总看板!$A$21:$A$25</c:f>
              <c:strCache>
                <c:ptCount val="5"/>
                <c:pt idx="0">
                  <c:v>张宇1000题</c:v>
                </c:pt>
                <c:pt idx="1">
                  <c:v>操作系统</c:v>
                </c:pt>
                <c:pt idx="2">
                  <c:v>计组</c:v>
                </c:pt>
                <c:pt idx="3">
                  <c:v>数据结构</c:v>
                </c:pt>
                <c:pt idx="4">
                  <c:v>计网</c:v>
                </c:pt>
              </c:strCache>
            </c:strRef>
          </c:cat>
          <c:val>
            <c:numRef>
              <c:f>汇总看板!$E$21:$E$25</c:f>
              <c:numCache>
                <c:formatCode>General</c:formatCode>
                <c:ptCount val="5"/>
                <c:pt idx="0">
                  <c:v>0.14084507042253522</c:v>
                </c:pt>
                <c:pt idx="1">
                  <c:v>1.6666666666666667</c:v>
                </c:pt>
                <c:pt idx="2">
                  <c:v>1.25</c:v>
                </c:pt>
                <c:pt idx="3">
                  <c:v>3.125E-2</c:v>
                </c:pt>
                <c:pt idx="4">
                  <c:v>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80-4455-AC82-436DC2D5A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数学一 </a:t>
            </a:r>
            <a:r>
              <a:rPr lang="en-US"/>
              <a:t>vs 408  </a:t>
            </a:r>
            <a:r>
              <a:rPr lang="zh-CN" altLang="en-US"/>
              <a:t>总题数 </a:t>
            </a:r>
            <a:r>
              <a:rPr lang="en-US"/>
              <a:t>vs </a:t>
            </a:r>
            <a:r>
              <a:rPr lang="zh-CN" altLang="en-US"/>
              <a:t>正确数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汇总看板!$B$30</c:f>
              <c:strCache>
                <c:ptCount val="1"/>
                <c:pt idx="0">
                  <c:v>总题数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汇总看板!$B$31:$B$32</c:f>
              <c:numCache>
                <c:formatCode>General</c:formatCode>
                <c:ptCount val="2"/>
                <c:pt idx="0">
                  <c:v>204</c:v>
                </c:pt>
                <c:pt idx="1">
                  <c:v>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75-414A-A6DD-9838045B7DFE}"/>
            </c:ext>
          </c:extLst>
        </c:ser>
        <c:ser>
          <c:idx val="1"/>
          <c:order val="1"/>
          <c:tx>
            <c:strRef>
              <c:f>汇总看板!$C$30</c:f>
              <c:strCache>
                <c:ptCount val="1"/>
                <c:pt idx="0">
                  <c:v>正确数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汇总看板!$C$31:$C$32</c:f>
              <c:numCache>
                <c:formatCode>General</c:formatCode>
                <c:ptCount val="2"/>
                <c:pt idx="0">
                  <c:v>168</c:v>
                </c:pt>
                <c:pt idx="1">
                  <c:v>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E75-414A-A6DD-9838045B7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题数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数学一 </a:t>
            </a:r>
            <a:r>
              <a:rPr lang="en-US"/>
              <a:t>vs 408  </a:t>
            </a:r>
            <a:r>
              <a:rPr lang="zh-CN" altLang="en-US"/>
              <a:t>正确率 </a:t>
            </a:r>
            <a:r>
              <a:rPr lang="en-US"/>
              <a:t>vs </a:t>
            </a:r>
            <a:r>
              <a:rPr lang="zh-CN" altLang="en-US"/>
              <a:t>进度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汇总看板!$D$30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汇总看板!$D$31:$D$32</c:f>
              <c:numCache>
                <c:formatCode>General</c:formatCode>
                <c:ptCount val="2"/>
                <c:pt idx="0">
                  <c:v>0.82352941176470584</c:v>
                </c:pt>
                <c:pt idx="1">
                  <c:v>0.74633123689727465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79-473D-ACF5-31CA378009DC}"/>
            </c:ext>
          </c:extLst>
        </c:ser>
        <c:ser>
          <c:idx val="1"/>
          <c:order val="1"/>
          <c:tx>
            <c:strRef>
              <c:f>汇总看板!$E$30</c:f>
              <c:strCache>
                <c:ptCount val="1"/>
                <c:pt idx="0">
                  <c:v>进度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8"/>
            <c:spPr>
              <a:ln>
                <a:prstDash val="solid"/>
              </a:ln>
            </c:spPr>
          </c:marker>
          <c:cat>
            <c:strRef>
              <c:f>汇总看板!$A$31:$A$32</c:f>
              <c:strCache>
                <c:ptCount val="2"/>
                <c:pt idx="0">
                  <c:v>数学一</c:v>
                </c:pt>
                <c:pt idx="1">
                  <c:v>408统考</c:v>
                </c:pt>
              </c:strCache>
            </c:strRef>
          </c:cat>
          <c:val>
            <c:numRef>
              <c:f>汇总看板!$E$31:$E$32</c:f>
              <c:numCache>
                <c:formatCode>General</c:formatCode>
                <c:ptCount val="2"/>
                <c:pt idx="0">
                  <c:v>0.14084507042253522</c:v>
                </c:pt>
                <c:pt idx="1">
                  <c:v>0.66363636363636369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79-473D-ACF5-31CA37800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高等数学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张宇1000题!$B$94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张宇1000题!$A$95:$A$113</c:f>
              <c:strCache>
                <c:ptCount val="19"/>
                <c:pt idx="0">
                  <c:v>零基础</c:v>
                </c:pt>
                <c:pt idx="1">
                  <c:v>第1章 函数极限与连续</c:v>
                </c:pt>
                <c:pt idx="2">
                  <c:v>第2章 数列极限</c:v>
                </c:pt>
                <c:pt idx="3">
                  <c:v>第3章 一元函数微分学的概念</c:v>
                </c:pt>
                <c:pt idx="4">
                  <c:v>第4章 一元函数微分学的计算</c:v>
                </c:pt>
                <c:pt idx="5">
                  <c:v>第5章 一元函数微分学的应用(一) ——几何应用</c:v>
                </c:pt>
                <c:pt idx="6">
                  <c:v>第6章 一元函数微分学的应用(二) ——中值定理、微分等式与微分不等式</c:v>
                </c:pt>
                <c:pt idx="7">
                  <c:v>第7章 一元函数微分学的应用(三) ——物理应用</c:v>
                </c:pt>
                <c:pt idx="8">
                  <c:v>第8章 一元函数积分学的概念与性质</c:v>
                </c:pt>
                <c:pt idx="9">
                  <c:v>第9章 一元函数积分学的计算</c:v>
                </c:pt>
                <c:pt idx="10">
                  <c:v>第10章 一元函数积分学的应用(一) ——几何应用</c:v>
                </c:pt>
                <c:pt idx="11">
                  <c:v>第11章 一元函数积分学的应用(二) ——积分等式与积分不等式</c:v>
                </c:pt>
                <c:pt idx="12">
                  <c:v>第12章 一元函数积分学的应用(三) ——物理应用</c:v>
                </c:pt>
                <c:pt idx="13">
                  <c:v>第13章 多元函数微分学</c:v>
                </c:pt>
                <c:pt idx="14">
                  <c:v>第14章 二重积分</c:v>
                </c:pt>
                <c:pt idx="15">
                  <c:v>第15章 微分方程</c:v>
                </c:pt>
                <c:pt idx="16">
                  <c:v>第16章 无穷级数</c:v>
                </c:pt>
                <c:pt idx="17">
                  <c:v>第17章 多元函数积分学的预备知识</c:v>
                </c:pt>
                <c:pt idx="18">
                  <c:v>第18章 多元函数积分学</c:v>
                </c:pt>
              </c:strCache>
            </c:strRef>
          </c:cat>
          <c:val>
            <c:numRef>
              <c:f>张宇1000题!$B$95:$B$113</c:f>
              <c:numCache>
                <c:formatCode>General</c:formatCode>
                <c:ptCount val="19"/>
                <c:pt idx="0">
                  <c:v>1</c:v>
                </c:pt>
                <c:pt idx="1">
                  <c:v>0.86956521739130432</c:v>
                </c:pt>
                <c:pt idx="2">
                  <c:v>0.91666666666666663</c:v>
                </c:pt>
                <c:pt idx="3">
                  <c:v>0.8</c:v>
                </c:pt>
                <c:pt idx="4">
                  <c:v>0.83333333333333337</c:v>
                </c:pt>
                <c:pt idx="5">
                  <c:v>0.75</c:v>
                </c:pt>
                <c:pt idx="6">
                  <c:v>0.90909090909090906</c:v>
                </c:pt>
                <c:pt idx="7">
                  <c:v>0</c:v>
                </c:pt>
                <c:pt idx="8">
                  <c:v>0.96</c:v>
                </c:pt>
                <c:pt idx="9">
                  <c:v>0.77777777777777779</c:v>
                </c:pt>
                <c:pt idx="10">
                  <c:v>0.52631578947368418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A9-4634-A363-413040D89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线性代数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张宇1000题!$B$132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张宇1000题!$A$133:$A$138</c:f>
              <c:strCache>
                <c:ptCount val="6"/>
                <c:pt idx="0">
                  <c:v>第1章 行列式</c:v>
                </c:pt>
                <c:pt idx="1">
                  <c:v>第2章 矩阵</c:v>
                </c:pt>
                <c:pt idx="2">
                  <c:v>第3章 向量组</c:v>
                </c:pt>
                <c:pt idx="3">
                  <c:v>第4章 线性方程组</c:v>
                </c:pt>
                <c:pt idx="4">
                  <c:v>第5章 特征值与特征向量</c:v>
                </c:pt>
                <c:pt idx="5">
                  <c:v>第6章 二次型</c:v>
                </c:pt>
              </c:strCache>
            </c:strRef>
          </c:cat>
          <c:val>
            <c:numRef>
              <c:f>张宇1000题!$B$133:$B$138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9A-40C0-99A7-3DC9FB5D6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基础篇</a:t>
            </a:r>
            <a:r>
              <a:rPr lang="en-US" altLang="zh-CN"/>
              <a:t>-</a:t>
            </a:r>
            <a:r>
              <a:rPr lang="zh-CN" altLang="en-US"/>
              <a:t>概率统计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张宇1000题!$B$157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张宇1000题!$A$158:$A$163</c:f>
              <c:strCache>
                <c:ptCount val="6"/>
                <c:pt idx="0">
                  <c:v>第1章 随机事件与概率</c:v>
                </c:pt>
                <c:pt idx="1">
                  <c:v>第2章 一维随机变量及其分布</c:v>
                </c:pt>
                <c:pt idx="2">
                  <c:v>第3章 多维随机变量及其分布</c:v>
                </c:pt>
                <c:pt idx="3">
                  <c:v>第4章 随机变量的数字特征</c:v>
                </c:pt>
                <c:pt idx="4">
                  <c:v>第5章 大数定律与中心极限定理</c:v>
                </c:pt>
                <c:pt idx="5">
                  <c:v>第6章 数理统计</c:v>
                </c:pt>
              </c:strCache>
            </c:strRef>
          </c:cat>
          <c:val>
            <c:numRef>
              <c:f>张宇1000题!$B$158:$B$163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8A-4F28-B7F1-6638361CA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强化篇</a:t>
            </a:r>
            <a:r>
              <a:rPr lang="en-US" altLang="zh-CN"/>
              <a:t>-</a:t>
            </a:r>
            <a:r>
              <a:rPr lang="zh-CN" altLang="en-US"/>
              <a:t>高等数学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张宇1000题!$B$182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张宇1000题!$A$183:$A$200</c:f>
              <c:strCache>
                <c:ptCount val="18"/>
                <c:pt idx="0">
                  <c:v>第1章 函数极限与连续</c:v>
                </c:pt>
                <c:pt idx="1">
                  <c:v>第2章 数列极限</c:v>
                </c:pt>
                <c:pt idx="2">
                  <c:v>第3章 一元函数微分学的概念</c:v>
                </c:pt>
                <c:pt idx="3">
                  <c:v>第4章 一元函数微分学的计算</c:v>
                </c:pt>
                <c:pt idx="4">
                  <c:v>第5章 一元函数微分学的应用(一) ——几何应用</c:v>
                </c:pt>
                <c:pt idx="5">
                  <c:v>第6章 一元函数微分学的应用(二) ——中值定理、微分等式与微分不等式</c:v>
                </c:pt>
                <c:pt idx="6">
                  <c:v>第7章 一元函数微分学的应用(三) ——物理应用</c:v>
                </c:pt>
                <c:pt idx="7">
                  <c:v>第8章 一元函数积分学的概念与性质</c:v>
                </c:pt>
                <c:pt idx="8">
                  <c:v>第9章 一元函数积分学的计算</c:v>
                </c:pt>
                <c:pt idx="9">
                  <c:v>第10章 一元函数积分学的应用(一) ——几何应用</c:v>
                </c:pt>
                <c:pt idx="10">
                  <c:v>第11章 一元函数积分学的应用(二) ——积分等式与积分不等式</c:v>
                </c:pt>
                <c:pt idx="11">
                  <c:v>第12章 一元函数积分学的应用(三) ——物理应用</c:v>
                </c:pt>
                <c:pt idx="12">
                  <c:v>第13章 多元函数微分学</c:v>
                </c:pt>
                <c:pt idx="13">
                  <c:v>第14章 二重积分</c:v>
                </c:pt>
                <c:pt idx="14">
                  <c:v>第15章 微分方程</c:v>
                </c:pt>
                <c:pt idx="15">
                  <c:v>第16章 无穷级数</c:v>
                </c:pt>
                <c:pt idx="16">
                  <c:v>第17章 多元函数积分学的预备知识</c:v>
                </c:pt>
                <c:pt idx="17">
                  <c:v>第18章 多元函数积分学</c:v>
                </c:pt>
              </c:strCache>
            </c:strRef>
          </c:cat>
          <c:val>
            <c:numRef>
              <c:f>张宇1000题!$B$183:$B$200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B-4DCE-BA7C-6A429CEAA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综合篇</a:t>
            </a:r>
            <a:r>
              <a:rPr lang="en-US" altLang="zh-CN"/>
              <a:t>-</a:t>
            </a:r>
            <a:r>
              <a:rPr lang="zh-CN" altLang="en-US"/>
              <a:t>线性代数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张宇1000题!$B$219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张宇1000题!$A$220:$A$228</c:f>
              <c:strCache>
                <c:ptCount val="9"/>
                <c:pt idx="0">
                  <c:v>第1章 行列式</c:v>
                </c:pt>
                <c:pt idx="1">
                  <c:v>第2章 余子式和代数余子式的计算</c:v>
                </c:pt>
                <c:pt idx="2">
                  <c:v>第3章 矩阵运算</c:v>
                </c:pt>
                <c:pt idx="3">
                  <c:v>第4章 矩阵的秩</c:v>
                </c:pt>
                <c:pt idx="4">
                  <c:v>第5章 线性方程组</c:v>
                </c:pt>
                <c:pt idx="5">
                  <c:v>第6章 向量组</c:v>
                </c:pt>
                <c:pt idx="6">
                  <c:v>第7章 特征值与特征向量</c:v>
                </c:pt>
                <c:pt idx="7">
                  <c:v>第8章 相似理论</c:v>
                </c:pt>
                <c:pt idx="8">
                  <c:v>第9章 二次型</c:v>
                </c:pt>
              </c:strCache>
            </c:strRef>
          </c:cat>
          <c:val>
            <c:numRef>
              <c:f>张宇1000题!$B$220:$B$228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CB-44C0-ADF6-1799E82E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综合篇-概率统计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张宇1000题!$B$247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张宇1000题!$A$248:$A$256</c:f>
              <c:strCache>
                <c:ptCount val="9"/>
                <c:pt idx="0">
                  <c:v>第1章 随机事件和概率</c:v>
                </c:pt>
                <c:pt idx="1">
                  <c:v>第2章 一维随机变量及其分布</c:v>
                </c:pt>
                <c:pt idx="2">
                  <c:v>第3章 一维随机变量函数的分布</c:v>
                </c:pt>
                <c:pt idx="3">
                  <c:v>第4章 多维随机变量及其分布</c:v>
                </c:pt>
                <c:pt idx="4">
                  <c:v>第5章 多维随机变量函数的分布</c:v>
                </c:pt>
                <c:pt idx="5">
                  <c:v>第6章 数字特征</c:v>
                </c:pt>
                <c:pt idx="6">
                  <c:v>第7章 大数定律与中心极限定理</c:v>
                </c:pt>
                <c:pt idx="7">
                  <c:v>第8章 统计量及其分布</c:v>
                </c:pt>
                <c:pt idx="8">
                  <c:v>第9章 参数估计与假设检验</c:v>
                </c:pt>
              </c:strCache>
            </c:strRef>
          </c:cat>
          <c:val>
            <c:numRef>
              <c:f>张宇1000题!$B$248:$B$256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C8-434E-9595-582775CE9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t>综合篇-综合测试 各章节正确率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张宇1000题!$B$275</c:f>
              <c:strCache>
                <c:ptCount val="1"/>
                <c:pt idx="0">
                  <c:v>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张宇1000题!$A$276:$A$279</c:f>
              <c:strCache>
                <c:ptCount val="4"/>
                <c:pt idx="0">
                  <c:v>测试卷一</c:v>
                </c:pt>
                <c:pt idx="1">
                  <c:v>测试卷二</c:v>
                </c:pt>
                <c:pt idx="2">
                  <c:v>测试卷三</c:v>
                </c:pt>
                <c:pt idx="3">
                  <c:v>测试卷四</c:v>
                </c:pt>
              </c:strCache>
            </c:strRef>
          </c:cat>
          <c:val>
            <c:numRef>
              <c:f>张宇1000题!$B$276:$B$279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CF-4AEE-8008-45EFBE713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王道操作系统!$B$33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王道操作系统!$A$34:$A$51</c:f>
              <c:strCache>
                <c:ptCount val="18"/>
                <c:pt idx="0">
                  <c:v>1.1 操作系统的基本概念</c:v>
                </c:pt>
                <c:pt idx="1">
                  <c:v>1.2 操作系统发展历程</c:v>
                </c:pt>
                <c:pt idx="2">
                  <c:v>1.3 操作系统的运行环境</c:v>
                </c:pt>
                <c:pt idx="3">
                  <c:v>1.4 操作系统结构</c:v>
                </c:pt>
                <c:pt idx="4">
                  <c:v>1.5 操作系统引导</c:v>
                </c:pt>
                <c:pt idx="5">
                  <c:v>1.6 虚拟机</c:v>
                </c:pt>
                <c:pt idx="6">
                  <c:v>2.1 进程与线程简介</c:v>
                </c:pt>
                <c:pt idx="7">
                  <c:v>2.2 CPU调度</c:v>
                </c:pt>
                <c:pt idx="8">
                  <c:v>2.3 同步与互斥</c:v>
                </c:pt>
                <c:pt idx="9">
                  <c:v>2.4 死锁</c:v>
                </c:pt>
                <c:pt idx="10">
                  <c:v>3.1 内存管理概念</c:v>
                </c:pt>
                <c:pt idx="11">
                  <c:v>3.2 虚拟内存管理</c:v>
                </c:pt>
                <c:pt idx="12">
                  <c:v>4.1 文件系统基础</c:v>
                </c:pt>
                <c:pt idx="13">
                  <c:v>4.2 目录与文件</c:v>
                </c:pt>
                <c:pt idx="14">
                  <c:v>4.3 文件系统</c:v>
                </c:pt>
                <c:pt idx="15">
                  <c:v>5.1 I/O管理概述</c:v>
                </c:pt>
                <c:pt idx="16">
                  <c:v>5.2 设备独立性软件</c:v>
                </c:pt>
                <c:pt idx="17">
                  <c:v>5.3 磁盘和固态硬盘</c:v>
                </c:pt>
              </c:strCache>
            </c:strRef>
          </c:cat>
          <c:val>
            <c:numRef>
              <c:f>王道操作系统!$B$34:$B$51</c:f>
              <c:numCache>
                <c:formatCode>General</c:formatCode>
                <c:ptCount val="18"/>
                <c:pt idx="0">
                  <c:v>0.90909090909090906</c:v>
                </c:pt>
                <c:pt idx="1">
                  <c:v>0.7</c:v>
                </c:pt>
                <c:pt idx="2">
                  <c:v>0.75757575757575757</c:v>
                </c:pt>
                <c:pt idx="3">
                  <c:v>0.63636363636363635</c:v>
                </c:pt>
                <c:pt idx="4">
                  <c:v>0.63636363636363635</c:v>
                </c:pt>
                <c:pt idx="5">
                  <c:v>0.63636363636363635</c:v>
                </c:pt>
                <c:pt idx="6">
                  <c:v>0.72602739726027399</c:v>
                </c:pt>
                <c:pt idx="7">
                  <c:v>0.80701754385964908</c:v>
                </c:pt>
                <c:pt idx="8">
                  <c:v>0.8214285714285714</c:v>
                </c:pt>
                <c:pt idx="9">
                  <c:v>0.84444444444444444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6A-4300-A8A6-CF18EBBA3B2A}"/>
            </c:ext>
          </c:extLst>
        </c:ser>
        <c:ser>
          <c:idx val="1"/>
          <c:order val="1"/>
          <c:tx>
            <c:strRef>
              <c:f>王道操作系统!$C$33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王道操作系统!$A$34:$A$51</c:f>
              <c:strCache>
                <c:ptCount val="18"/>
                <c:pt idx="0">
                  <c:v>1.1 操作系统的基本概念</c:v>
                </c:pt>
                <c:pt idx="1">
                  <c:v>1.2 操作系统发展历程</c:v>
                </c:pt>
                <c:pt idx="2">
                  <c:v>1.3 操作系统的运行环境</c:v>
                </c:pt>
                <c:pt idx="3">
                  <c:v>1.4 操作系统结构</c:v>
                </c:pt>
                <c:pt idx="4">
                  <c:v>1.5 操作系统引导</c:v>
                </c:pt>
                <c:pt idx="5">
                  <c:v>1.6 虚拟机</c:v>
                </c:pt>
                <c:pt idx="6">
                  <c:v>2.1 进程与线程简介</c:v>
                </c:pt>
                <c:pt idx="7">
                  <c:v>2.2 CPU调度</c:v>
                </c:pt>
                <c:pt idx="8">
                  <c:v>2.3 同步与互斥</c:v>
                </c:pt>
                <c:pt idx="9">
                  <c:v>2.4 死锁</c:v>
                </c:pt>
                <c:pt idx="10">
                  <c:v>3.1 内存管理概念</c:v>
                </c:pt>
                <c:pt idx="11">
                  <c:v>3.2 虚拟内存管理</c:v>
                </c:pt>
                <c:pt idx="12">
                  <c:v>4.1 文件系统基础</c:v>
                </c:pt>
                <c:pt idx="13">
                  <c:v>4.2 目录与文件</c:v>
                </c:pt>
                <c:pt idx="14">
                  <c:v>4.3 文件系统</c:v>
                </c:pt>
                <c:pt idx="15">
                  <c:v>5.1 I/O管理概述</c:v>
                </c:pt>
                <c:pt idx="16">
                  <c:v>5.2 设备独立性软件</c:v>
                </c:pt>
                <c:pt idx="17">
                  <c:v>5.3 磁盘和固态硬盘</c:v>
                </c:pt>
              </c:strCache>
            </c:strRef>
          </c:cat>
          <c:val>
            <c:numRef>
              <c:f>王道操作系统!$C$34:$C$51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6A-4300-A8A6-CF18EBBA3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王道计组!$B$45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王道计组!$A$46:$A$73</c:f>
              <c:strCache>
                <c:ptCount val="28"/>
                <c:pt idx="0">
                  <c:v>1.1 计算机发展历程</c:v>
                </c:pt>
                <c:pt idx="1">
                  <c:v>1.2 计算机系统层次结构</c:v>
                </c:pt>
                <c:pt idx="2">
                  <c:v>1.3 计算机的性能指标</c:v>
                </c:pt>
                <c:pt idx="3">
                  <c:v>2.1 数制与编码</c:v>
                </c:pt>
                <c:pt idx="4">
                  <c:v>2.2 运算方法和运算电路</c:v>
                </c:pt>
                <c:pt idx="5">
                  <c:v>2.3 浮点数的表示与运算</c:v>
                </c:pt>
                <c:pt idx="6">
                  <c:v>3.1 存储器概述</c:v>
                </c:pt>
                <c:pt idx="7">
                  <c:v>3.2 主存储器</c:v>
                </c:pt>
                <c:pt idx="8">
                  <c:v>3.3 主存储器与CPU的连接</c:v>
                </c:pt>
                <c:pt idx="9">
                  <c:v>3.4 外部存储器</c:v>
                </c:pt>
                <c:pt idx="10">
                  <c:v>3.5 高速缓冲存储器</c:v>
                </c:pt>
                <c:pt idx="11">
                  <c:v>3.6 虚拟存储器</c:v>
                </c:pt>
                <c:pt idx="12">
                  <c:v>4.1 指令系统</c:v>
                </c:pt>
                <c:pt idx="13">
                  <c:v>4.2 寻址方式</c:v>
                </c:pt>
                <c:pt idx="14">
                  <c:v>4.3 程序的机器级代码表示</c:v>
                </c:pt>
                <c:pt idx="15">
                  <c:v>4.4 CISC和RISC的基本概念</c:v>
                </c:pt>
                <c:pt idx="16">
                  <c:v>5.1 CPU的功能和基本结构</c:v>
                </c:pt>
                <c:pt idx="17">
                  <c:v>5.2 指令执行过程</c:v>
                </c:pt>
                <c:pt idx="18">
                  <c:v>5.3 数据通路的功能和基本结构</c:v>
                </c:pt>
                <c:pt idx="19">
                  <c:v>5.4 控制器的功能和工作原理</c:v>
                </c:pt>
                <c:pt idx="20">
                  <c:v>5.5 异常和中断机制</c:v>
                </c:pt>
                <c:pt idx="21">
                  <c:v>5.6 指令流水线</c:v>
                </c:pt>
                <c:pt idx="22">
                  <c:v>5.7 多处理器的基本概念</c:v>
                </c:pt>
                <c:pt idx="23">
                  <c:v>6.1 总线概述</c:v>
                </c:pt>
                <c:pt idx="24">
                  <c:v>6.2 总线事务和定时</c:v>
                </c:pt>
                <c:pt idx="25">
                  <c:v>7.1 I/O系统基本概念</c:v>
                </c:pt>
                <c:pt idx="26">
                  <c:v>7.2 I/O接口</c:v>
                </c:pt>
                <c:pt idx="27">
                  <c:v>7.3 I/O方式</c:v>
                </c:pt>
              </c:strCache>
            </c:strRef>
          </c:cat>
          <c:val>
            <c:numRef>
              <c:f>王道计组!$B$46:$B$73</c:f>
              <c:numCache>
                <c:formatCode>General</c:formatCode>
                <c:ptCount val="28"/>
                <c:pt idx="0">
                  <c:v>1</c:v>
                </c:pt>
                <c:pt idx="1">
                  <c:v>0.9285714285714286</c:v>
                </c:pt>
                <c:pt idx="2">
                  <c:v>0.6</c:v>
                </c:pt>
                <c:pt idx="3">
                  <c:v>0.73529411764705888</c:v>
                </c:pt>
                <c:pt idx="4">
                  <c:v>0.7142857142857143</c:v>
                </c:pt>
                <c:pt idx="5">
                  <c:v>0.82222222222222219</c:v>
                </c:pt>
                <c:pt idx="6">
                  <c:v>0.90909090909090906</c:v>
                </c:pt>
                <c:pt idx="7">
                  <c:v>0.81081081081081086</c:v>
                </c:pt>
                <c:pt idx="8">
                  <c:v>0.73333333333333328</c:v>
                </c:pt>
                <c:pt idx="9">
                  <c:v>0.75</c:v>
                </c:pt>
                <c:pt idx="10">
                  <c:v>0.62857142857142856</c:v>
                </c:pt>
                <c:pt idx="11">
                  <c:v>0.6</c:v>
                </c:pt>
                <c:pt idx="12">
                  <c:v>0.75</c:v>
                </c:pt>
                <c:pt idx="13">
                  <c:v>0.75757575757575757</c:v>
                </c:pt>
                <c:pt idx="14">
                  <c:v>0</c:v>
                </c:pt>
                <c:pt idx="15">
                  <c:v>1</c:v>
                </c:pt>
                <c:pt idx="16">
                  <c:v>0.625</c:v>
                </c:pt>
                <c:pt idx="17">
                  <c:v>0.72727272727272729</c:v>
                </c:pt>
                <c:pt idx="18">
                  <c:v>0.66666666666666663</c:v>
                </c:pt>
                <c:pt idx="19">
                  <c:v>0.81481481481481477</c:v>
                </c:pt>
                <c:pt idx="20">
                  <c:v>0.53846153846153844</c:v>
                </c:pt>
                <c:pt idx="21">
                  <c:v>0.93939393939393945</c:v>
                </c:pt>
                <c:pt idx="22">
                  <c:v>0.83333333333333337</c:v>
                </c:pt>
                <c:pt idx="23">
                  <c:v>0.8</c:v>
                </c:pt>
                <c:pt idx="24">
                  <c:v>0.8</c:v>
                </c:pt>
                <c:pt idx="25">
                  <c:v>1</c:v>
                </c:pt>
                <c:pt idx="26">
                  <c:v>0.58823529411764708</c:v>
                </c:pt>
                <c:pt idx="27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8D-4061-9D26-F796CAF80CBC}"/>
            </c:ext>
          </c:extLst>
        </c:ser>
        <c:ser>
          <c:idx val="1"/>
          <c:order val="1"/>
          <c:tx>
            <c:strRef>
              <c:f>王道计组!$C$45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王道计组!$A$46:$A$73</c:f>
              <c:strCache>
                <c:ptCount val="28"/>
                <c:pt idx="0">
                  <c:v>1.1 计算机发展历程</c:v>
                </c:pt>
                <c:pt idx="1">
                  <c:v>1.2 计算机系统层次结构</c:v>
                </c:pt>
                <c:pt idx="2">
                  <c:v>1.3 计算机的性能指标</c:v>
                </c:pt>
                <c:pt idx="3">
                  <c:v>2.1 数制与编码</c:v>
                </c:pt>
                <c:pt idx="4">
                  <c:v>2.2 运算方法和运算电路</c:v>
                </c:pt>
                <c:pt idx="5">
                  <c:v>2.3 浮点数的表示与运算</c:v>
                </c:pt>
                <c:pt idx="6">
                  <c:v>3.1 存储器概述</c:v>
                </c:pt>
                <c:pt idx="7">
                  <c:v>3.2 主存储器</c:v>
                </c:pt>
                <c:pt idx="8">
                  <c:v>3.3 主存储器与CPU的连接</c:v>
                </c:pt>
                <c:pt idx="9">
                  <c:v>3.4 外部存储器</c:v>
                </c:pt>
                <c:pt idx="10">
                  <c:v>3.5 高速缓冲存储器</c:v>
                </c:pt>
                <c:pt idx="11">
                  <c:v>3.6 虚拟存储器</c:v>
                </c:pt>
                <c:pt idx="12">
                  <c:v>4.1 指令系统</c:v>
                </c:pt>
                <c:pt idx="13">
                  <c:v>4.2 寻址方式</c:v>
                </c:pt>
                <c:pt idx="14">
                  <c:v>4.3 程序的机器级代码表示</c:v>
                </c:pt>
                <c:pt idx="15">
                  <c:v>4.4 CISC和RISC的基本概念</c:v>
                </c:pt>
                <c:pt idx="16">
                  <c:v>5.1 CPU的功能和基本结构</c:v>
                </c:pt>
                <c:pt idx="17">
                  <c:v>5.2 指令执行过程</c:v>
                </c:pt>
                <c:pt idx="18">
                  <c:v>5.3 数据通路的功能和基本结构</c:v>
                </c:pt>
                <c:pt idx="19">
                  <c:v>5.4 控制器的功能和工作原理</c:v>
                </c:pt>
                <c:pt idx="20">
                  <c:v>5.5 异常和中断机制</c:v>
                </c:pt>
                <c:pt idx="21">
                  <c:v>5.6 指令流水线</c:v>
                </c:pt>
                <c:pt idx="22">
                  <c:v>5.7 多处理器的基本概念</c:v>
                </c:pt>
                <c:pt idx="23">
                  <c:v>6.1 总线概述</c:v>
                </c:pt>
                <c:pt idx="24">
                  <c:v>6.2 总线事务和定时</c:v>
                </c:pt>
                <c:pt idx="25">
                  <c:v>7.1 I/O系统基本概念</c:v>
                </c:pt>
                <c:pt idx="26">
                  <c:v>7.2 I/O接口</c:v>
                </c:pt>
                <c:pt idx="27">
                  <c:v>7.3 I/O方式</c:v>
                </c:pt>
              </c:strCache>
            </c:strRef>
          </c:cat>
          <c:val>
            <c:numRef>
              <c:f>王道计组!$C$46:$C$73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88D-4061-9D26-F796CAF80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王道数据结构!$B$50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王道数据结构!$A$51:$A$82</c:f>
              <c:strCache>
                <c:ptCount val="32"/>
                <c:pt idx="0">
                  <c:v>1.1 数据结构的基本概念</c:v>
                </c:pt>
                <c:pt idx="1">
                  <c:v>1.2 算法和算法评价</c:v>
                </c:pt>
                <c:pt idx="2">
                  <c:v>2.1 线性表的定义和基本操作</c:v>
                </c:pt>
                <c:pt idx="3">
                  <c:v>2.2 线性表的顺序表示</c:v>
                </c:pt>
                <c:pt idx="4">
                  <c:v>2.3 线性表的链式表示</c:v>
                </c:pt>
                <c:pt idx="5">
                  <c:v>3.1 栈</c:v>
                </c:pt>
                <c:pt idx="6">
                  <c:v>3.2 队列</c:v>
                </c:pt>
                <c:pt idx="7">
                  <c:v>3.3 栈和队列的应用</c:v>
                </c:pt>
                <c:pt idx="8">
                  <c:v>3.4 数组和特殊矩阵</c:v>
                </c:pt>
                <c:pt idx="9">
                  <c:v>4.1 串的定义和实现</c:v>
                </c:pt>
                <c:pt idx="10">
                  <c:v>4.2 串的模式匹配</c:v>
                </c:pt>
                <c:pt idx="11">
                  <c:v>5.1 树的基本概念</c:v>
                </c:pt>
                <c:pt idx="12">
                  <c:v>5.2 二叉树的概念</c:v>
                </c:pt>
                <c:pt idx="13">
                  <c:v>5.3 二叉树的遍历和线索二叉树</c:v>
                </c:pt>
                <c:pt idx="14">
                  <c:v>5.4 树、森林</c:v>
                </c:pt>
                <c:pt idx="15">
                  <c:v>5.5 树与二叉树的应用</c:v>
                </c:pt>
                <c:pt idx="16">
                  <c:v>6.1 图的基本概念</c:v>
                </c:pt>
                <c:pt idx="17">
                  <c:v>6.2 图的存储及基本操作</c:v>
                </c:pt>
                <c:pt idx="18">
                  <c:v>6.3 图的遍历</c:v>
                </c:pt>
                <c:pt idx="19">
                  <c:v>6.4 图的应用</c:v>
                </c:pt>
                <c:pt idx="20">
                  <c:v>7.1 查找的基本概念</c:v>
                </c:pt>
                <c:pt idx="21">
                  <c:v>7.2 顺序查找和折半查找</c:v>
                </c:pt>
                <c:pt idx="22">
                  <c:v>7.3 树形查找</c:v>
                </c:pt>
                <c:pt idx="23">
                  <c:v>7.4 B树和B+树</c:v>
                </c:pt>
                <c:pt idx="24">
                  <c:v>7.5 散列(Hash)表</c:v>
                </c:pt>
                <c:pt idx="25">
                  <c:v>8.1 排序的基本概念</c:v>
                </c:pt>
                <c:pt idx="26">
                  <c:v>8.2 插入排序</c:v>
                </c:pt>
                <c:pt idx="27">
                  <c:v>8.3 交换排序</c:v>
                </c:pt>
                <c:pt idx="28">
                  <c:v>8.4 选择排序</c:v>
                </c:pt>
                <c:pt idx="29">
                  <c:v>8.5 归并排序、基数排序和计数排序</c:v>
                </c:pt>
                <c:pt idx="30">
                  <c:v>8.6 各种内部排序算法的比较及应用</c:v>
                </c:pt>
                <c:pt idx="31">
                  <c:v>8.7 外部排序</c:v>
                </c:pt>
              </c:strCache>
            </c:strRef>
          </c:cat>
          <c:val>
            <c:numRef>
              <c:f>王道数据结构!$B$51:$B$82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00-442B-AF73-B34A8A941B3A}"/>
            </c:ext>
          </c:extLst>
        </c:ser>
        <c:ser>
          <c:idx val="1"/>
          <c:order val="1"/>
          <c:tx>
            <c:strRef>
              <c:f>王道数据结构!$C$50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王道数据结构!$A$51:$A$82</c:f>
              <c:strCache>
                <c:ptCount val="32"/>
                <c:pt idx="0">
                  <c:v>1.1 数据结构的基本概念</c:v>
                </c:pt>
                <c:pt idx="1">
                  <c:v>1.2 算法和算法评价</c:v>
                </c:pt>
                <c:pt idx="2">
                  <c:v>2.1 线性表的定义和基本操作</c:v>
                </c:pt>
                <c:pt idx="3">
                  <c:v>2.2 线性表的顺序表示</c:v>
                </c:pt>
                <c:pt idx="4">
                  <c:v>2.3 线性表的链式表示</c:v>
                </c:pt>
                <c:pt idx="5">
                  <c:v>3.1 栈</c:v>
                </c:pt>
                <c:pt idx="6">
                  <c:v>3.2 队列</c:v>
                </c:pt>
                <c:pt idx="7">
                  <c:v>3.3 栈和队列的应用</c:v>
                </c:pt>
                <c:pt idx="8">
                  <c:v>3.4 数组和特殊矩阵</c:v>
                </c:pt>
                <c:pt idx="9">
                  <c:v>4.1 串的定义和实现</c:v>
                </c:pt>
                <c:pt idx="10">
                  <c:v>4.2 串的模式匹配</c:v>
                </c:pt>
                <c:pt idx="11">
                  <c:v>5.1 树的基本概念</c:v>
                </c:pt>
                <c:pt idx="12">
                  <c:v>5.2 二叉树的概念</c:v>
                </c:pt>
                <c:pt idx="13">
                  <c:v>5.3 二叉树的遍历和线索二叉树</c:v>
                </c:pt>
                <c:pt idx="14">
                  <c:v>5.4 树、森林</c:v>
                </c:pt>
                <c:pt idx="15">
                  <c:v>5.5 树与二叉树的应用</c:v>
                </c:pt>
                <c:pt idx="16">
                  <c:v>6.1 图的基本概念</c:v>
                </c:pt>
                <c:pt idx="17">
                  <c:v>6.2 图的存储及基本操作</c:v>
                </c:pt>
                <c:pt idx="18">
                  <c:v>6.3 图的遍历</c:v>
                </c:pt>
                <c:pt idx="19">
                  <c:v>6.4 图的应用</c:v>
                </c:pt>
                <c:pt idx="20">
                  <c:v>7.1 查找的基本概念</c:v>
                </c:pt>
                <c:pt idx="21">
                  <c:v>7.2 顺序查找和折半查找</c:v>
                </c:pt>
                <c:pt idx="22">
                  <c:v>7.3 树形查找</c:v>
                </c:pt>
                <c:pt idx="23">
                  <c:v>7.4 B树和B+树</c:v>
                </c:pt>
                <c:pt idx="24">
                  <c:v>7.5 散列(Hash)表</c:v>
                </c:pt>
                <c:pt idx="25">
                  <c:v>8.1 排序的基本概念</c:v>
                </c:pt>
                <c:pt idx="26">
                  <c:v>8.2 插入排序</c:v>
                </c:pt>
                <c:pt idx="27">
                  <c:v>8.3 交换排序</c:v>
                </c:pt>
                <c:pt idx="28">
                  <c:v>8.4 选择排序</c:v>
                </c:pt>
                <c:pt idx="29">
                  <c:v>8.5 归并排序、基数排序和计数排序</c:v>
                </c:pt>
                <c:pt idx="30">
                  <c:v>8.6 各种内部排序算法的比较及应用</c:v>
                </c:pt>
                <c:pt idx="31">
                  <c:v>8.7 外部排序</c:v>
                </c:pt>
              </c:strCache>
            </c:strRef>
          </c:cat>
          <c:val>
            <c:numRef>
              <c:f>王道数据结构!$C$51:$C$82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00-442B-AF73-B34A8A941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各小节 一刷 </a:t>
            </a:r>
            <a:r>
              <a:rPr lang="en-US"/>
              <a:t>vs </a:t>
            </a:r>
            <a:r>
              <a:rPr lang="zh-CN" altLang="en-US"/>
              <a:t>二刷 正确率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王道计网!$B$44</c:f>
              <c:strCache>
                <c:ptCount val="1"/>
                <c:pt idx="0">
                  <c:v>一刷正确率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王道计网!$A$45:$A$72</c:f>
              <c:strCache>
                <c:ptCount val="28"/>
                <c:pt idx="0">
                  <c:v>1.1 计算机网络概述</c:v>
                </c:pt>
                <c:pt idx="1">
                  <c:v>1.2 计算机网络体系结构与参考模型</c:v>
                </c:pt>
                <c:pt idx="2">
                  <c:v>2.1 通信基础</c:v>
                </c:pt>
                <c:pt idx="3">
                  <c:v>2.2 传输介质</c:v>
                </c:pt>
                <c:pt idx="4">
                  <c:v>2.3 物理层设备</c:v>
                </c:pt>
                <c:pt idx="5">
                  <c:v>3.1 数据链路层的功能</c:v>
                </c:pt>
                <c:pt idx="6">
                  <c:v>3.2 组帧</c:v>
                </c:pt>
                <c:pt idx="7">
                  <c:v>3.3 差错控制</c:v>
                </c:pt>
                <c:pt idx="8">
                  <c:v>3.4 流量控制与可靠传输机制</c:v>
                </c:pt>
                <c:pt idx="9">
                  <c:v>3.5 介质访问控制</c:v>
                </c:pt>
                <c:pt idx="10">
                  <c:v>3.6 局域网</c:v>
                </c:pt>
                <c:pt idx="11">
                  <c:v>3.7 广域网</c:v>
                </c:pt>
                <c:pt idx="12">
                  <c:v>3.8 数据链路层设备</c:v>
                </c:pt>
                <c:pt idx="13">
                  <c:v>4.1 网络层的功能</c:v>
                </c:pt>
                <c:pt idx="14">
                  <c:v>4.2 IPv4</c:v>
                </c:pt>
                <c:pt idx="15">
                  <c:v>4.3 IPv6</c:v>
                </c:pt>
                <c:pt idx="16">
                  <c:v>4.4 路由算法与路由协议</c:v>
                </c:pt>
                <c:pt idx="17">
                  <c:v>4.5 IP多播</c:v>
                </c:pt>
                <c:pt idx="18">
                  <c:v>4.6 移动IP</c:v>
                </c:pt>
                <c:pt idx="19">
                  <c:v>4.7 网络层设备</c:v>
                </c:pt>
                <c:pt idx="20">
                  <c:v>5.1 传输层提供的服务</c:v>
                </c:pt>
                <c:pt idx="21">
                  <c:v>5.2 UDP</c:v>
                </c:pt>
                <c:pt idx="22">
                  <c:v>5.3 TCP</c:v>
                </c:pt>
                <c:pt idx="23">
                  <c:v>6.1 网络应用模型</c:v>
                </c:pt>
                <c:pt idx="24">
                  <c:v>6.2 域名系统</c:v>
                </c:pt>
                <c:pt idx="25">
                  <c:v>6.3 文件传输协议</c:v>
                </c:pt>
                <c:pt idx="26">
                  <c:v>6.4 电子邮件</c:v>
                </c:pt>
                <c:pt idx="27">
                  <c:v>6.5 万维网</c:v>
                </c:pt>
              </c:strCache>
            </c:strRef>
          </c:cat>
          <c:val>
            <c:numRef>
              <c:f>王道计网!$B$45:$B$72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F7-4482-92CE-BA4019D22F0F}"/>
            </c:ext>
          </c:extLst>
        </c:ser>
        <c:ser>
          <c:idx val="1"/>
          <c:order val="1"/>
          <c:tx>
            <c:strRef>
              <c:f>王道计网!$C$44</c:f>
              <c:strCache>
                <c:ptCount val="1"/>
                <c:pt idx="0">
                  <c:v>二刷正确率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王道计网!$A$45:$A$72</c:f>
              <c:strCache>
                <c:ptCount val="28"/>
                <c:pt idx="0">
                  <c:v>1.1 计算机网络概述</c:v>
                </c:pt>
                <c:pt idx="1">
                  <c:v>1.2 计算机网络体系结构与参考模型</c:v>
                </c:pt>
                <c:pt idx="2">
                  <c:v>2.1 通信基础</c:v>
                </c:pt>
                <c:pt idx="3">
                  <c:v>2.2 传输介质</c:v>
                </c:pt>
                <c:pt idx="4">
                  <c:v>2.3 物理层设备</c:v>
                </c:pt>
                <c:pt idx="5">
                  <c:v>3.1 数据链路层的功能</c:v>
                </c:pt>
                <c:pt idx="6">
                  <c:v>3.2 组帧</c:v>
                </c:pt>
                <c:pt idx="7">
                  <c:v>3.3 差错控制</c:v>
                </c:pt>
                <c:pt idx="8">
                  <c:v>3.4 流量控制与可靠传输机制</c:v>
                </c:pt>
                <c:pt idx="9">
                  <c:v>3.5 介质访问控制</c:v>
                </c:pt>
                <c:pt idx="10">
                  <c:v>3.6 局域网</c:v>
                </c:pt>
                <c:pt idx="11">
                  <c:v>3.7 广域网</c:v>
                </c:pt>
                <c:pt idx="12">
                  <c:v>3.8 数据链路层设备</c:v>
                </c:pt>
                <c:pt idx="13">
                  <c:v>4.1 网络层的功能</c:v>
                </c:pt>
                <c:pt idx="14">
                  <c:v>4.2 IPv4</c:v>
                </c:pt>
                <c:pt idx="15">
                  <c:v>4.3 IPv6</c:v>
                </c:pt>
                <c:pt idx="16">
                  <c:v>4.4 路由算法与路由协议</c:v>
                </c:pt>
                <c:pt idx="17">
                  <c:v>4.5 IP多播</c:v>
                </c:pt>
                <c:pt idx="18">
                  <c:v>4.6 移动IP</c:v>
                </c:pt>
                <c:pt idx="19">
                  <c:v>4.7 网络层设备</c:v>
                </c:pt>
                <c:pt idx="20">
                  <c:v>5.1 传输层提供的服务</c:v>
                </c:pt>
                <c:pt idx="21">
                  <c:v>5.2 UDP</c:v>
                </c:pt>
                <c:pt idx="22">
                  <c:v>5.3 TCP</c:v>
                </c:pt>
                <c:pt idx="23">
                  <c:v>6.1 网络应用模型</c:v>
                </c:pt>
                <c:pt idx="24">
                  <c:v>6.2 域名系统</c:v>
                </c:pt>
                <c:pt idx="25">
                  <c:v>6.3 文件传输协议</c:v>
                </c:pt>
                <c:pt idx="26">
                  <c:v>6.4 电子邮件</c:v>
                </c:pt>
                <c:pt idx="27">
                  <c:v>6.5 万维网</c:v>
                </c:pt>
              </c:strCache>
            </c:strRef>
          </c:cat>
          <c:val>
            <c:numRef>
              <c:f>王道计网!$C$45:$C$72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0F7-4482-92CE-BA4019D22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29</xdr:row>
      <xdr:rowOff>0</xdr:rowOff>
    </xdr:from>
    <xdr:ext cx="720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720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55</xdr:row>
      <xdr:rowOff>0</xdr:rowOff>
    </xdr:from>
    <xdr:ext cx="576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67</xdr:row>
      <xdr:rowOff>0</xdr:rowOff>
    </xdr:from>
    <xdr:ext cx="576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115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140</xdr:row>
      <xdr:rowOff>0</xdr:rowOff>
    </xdr:from>
    <xdr:ext cx="100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165</xdr:row>
      <xdr:rowOff>0</xdr:rowOff>
    </xdr:from>
    <xdr:ext cx="1008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1008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230</xdr:row>
      <xdr:rowOff>0</xdr:rowOff>
    </xdr:from>
    <xdr:ext cx="1008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258</xdr:row>
      <xdr:rowOff>0</xdr:rowOff>
    </xdr:from>
    <xdr:ext cx="1008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281</xdr:row>
      <xdr:rowOff>0</xdr:rowOff>
    </xdr:from>
    <xdr:ext cx="10080000" cy="43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53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75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84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74</xdr:row>
      <xdr:rowOff>0</xdr:rowOff>
    </xdr:from>
    <xdr:ext cx="100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F32"/>
  <sheetViews>
    <sheetView topLeftCell="A114" workbookViewId="0">
      <selection sqref="A1:F1"/>
    </sheetView>
  </sheetViews>
  <sheetFormatPr defaultRowHeight="14" x14ac:dyDescent="0.25"/>
  <cols>
    <col min="1" max="1" width="24" customWidth="1"/>
    <col min="2" max="2" width="16" customWidth="1"/>
    <col min="3" max="6" width="14" customWidth="1"/>
  </cols>
  <sheetData>
    <row r="1" spans="1:6" ht="30" customHeight="1" x14ac:dyDescent="0.25">
      <c r="A1" s="20" t="s">
        <v>0</v>
      </c>
      <c r="B1" s="21"/>
      <c r="C1" s="21"/>
      <c r="D1" s="21"/>
      <c r="E1" s="21"/>
      <c r="F1" s="21"/>
    </row>
    <row r="3" spans="1:6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 x14ac:dyDescent="0.25">
      <c r="A4" s="22" t="s">
        <v>7</v>
      </c>
      <c r="B4" s="18"/>
      <c r="C4" s="18"/>
      <c r="D4" s="18"/>
      <c r="E4" s="18"/>
      <c r="F4" s="19"/>
    </row>
    <row r="5" spans="1:6" x14ac:dyDescent="0.25">
      <c r="A5" s="2" t="s">
        <v>8</v>
      </c>
      <c r="B5" s="3">
        <f>SUMPRODUCT((张宇1000题!C6:C24&gt;0)*1)+SUMPRODUCT((张宇1000题!C26:C31&gt;0)*1)+SUMPRODUCT((张宇1000题!C33:C38&gt;0)*1)+SUMPRODUCT((张宇1000题!C43:C60&gt;0)*1)+SUMPRODUCT((张宇1000题!C65:C73&gt;0)*1)+SUMPRODUCT((张宇1000题!C75:C83&gt;0)*1)+SUMPRODUCT((张宇1000题!C85:C88&gt;0)*1)</f>
        <v>10</v>
      </c>
      <c r="C5" s="3">
        <f>张宇1000题!C91</f>
        <v>204</v>
      </c>
      <c r="D5" s="3">
        <f>张宇1000题!D91</f>
        <v>168</v>
      </c>
      <c r="E5" s="3">
        <f>张宇1000题!E91</f>
        <v>0.82352941176470584</v>
      </c>
      <c r="F5" s="3">
        <f>IF(B5&gt;0, B5/71, "")</f>
        <v>0.14084507042253522</v>
      </c>
    </row>
    <row r="6" spans="1:6" x14ac:dyDescent="0.25">
      <c r="A6" s="4" t="s">
        <v>9</v>
      </c>
      <c r="B6" s="5">
        <f>B5</f>
        <v>10</v>
      </c>
      <c r="C6" s="5">
        <f>C5</f>
        <v>204</v>
      </c>
      <c r="D6" s="5">
        <f>D5</f>
        <v>168</v>
      </c>
      <c r="E6" s="5">
        <f>IF(C6&gt;0, D6/C6, "")</f>
        <v>0.82352941176470584</v>
      </c>
      <c r="F6" s="5">
        <f>IF(B6&gt;0, B6/71, "")</f>
        <v>0.14084507042253522</v>
      </c>
    </row>
    <row r="8" spans="1:6" x14ac:dyDescent="0.25">
      <c r="A8" s="17" t="s">
        <v>10</v>
      </c>
      <c r="B8" s="18"/>
      <c r="C8" s="18"/>
      <c r="D8" s="18"/>
      <c r="E8" s="18"/>
      <c r="F8" s="19"/>
    </row>
    <row r="9" spans="1:6" x14ac:dyDescent="0.25">
      <c r="A9" s="2" t="s">
        <v>11</v>
      </c>
      <c r="B9" s="3">
        <f>SUMPRODUCT((王道操作系统!C5:C50&gt;0)*1)</f>
        <v>30</v>
      </c>
      <c r="C9" s="3">
        <f>王道操作系统!C30</f>
        <v>361</v>
      </c>
      <c r="D9" s="3">
        <f>王道操作系统!D30</f>
        <v>274</v>
      </c>
      <c r="E9" s="3">
        <f>IF(C9&gt;0, D9/C9,"")</f>
        <v>0.75900277008310246</v>
      </c>
      <c r="F9" s="3">
        <f>IF(B9&gt;0, B9/18, "")</f>
        <v>1.6666666666666667</v>
      </c>
    </row>
    <row r="10" spans="1:6" x14ac:dyDescent="0.25">
      <c r="A10" s="2" t="s">
        <v>12</v>
      </c>
      <c r="B10" s="3">
        <f>SUMPRODUCT((王道计组!C5:C50&gt;0)*1)</f>
        <v>35</v>
      </c>
      <c r="C10" s="3">
        <f>王道计组!C42</f>
        <v>593</v>
      </c>
      <c r="D10" s="3">
        <f>王道计组!D42</f>
        <v>438</v>
      </c>
      <c r="E10" s="3">
        <f>IF(C10&gt;0, D10/C10,"")</f>
        <v>0.73861720067453629</v>
      </c>
      <c r="F10" s="3">
        <f>IF(B10&gt;0, B10/28, "")</f>
        <v>1.25</v>
      </c>
    </row>
    <row r="11" spans="1:6" x14ac:dyDescent="0.25">
      <c r="A11" s="2" t="s">
        <v>13</v>
      </c>
      <c r="B11" s="3">
        <f>SUMPRODUCT((王道数据结构!C5:C50&gt;0)*1)</f>
        <v>1</v>
      </c>
      <c r="C11" s="3">
        <f>王道数据结构!C47</f>
        <v>0</v>
      </c>
      <c r="D11" s="3">
        <f>王道数据结构!D47</f>
        <v>0</v>
      </c>
      <c r="E11" s="3" t="str">
        <f>IF(C11&gt;0, D11/C11,"")</f>
        <v/>
      </c>
      <c r="F11" s="3">
        <f>IF(B11&gt;0, B11/32, "")</f>
        <v>3.125E-2</v>
      </c>
    </row>
    <row r="12" spans="1:6" x14ac:dyDescent="0.25">
      <c r="A12" s="2" t="s">
        <v>14</v>
      </c>
      <c r="B12" s="3">
        <f>SUMPRODUCT((王道计网!C5:C50&gt;0)*1)</f>
        <v>7</v>
      </c>
      <c r="C12" s="3">
        <f>王道计网!C41</f>
        <v>0</v>
      </c>
      <c r="D12" s="3">
        <f>王道计网!D41</f>
        <v>0</v>
      </c>
      <c r="E12" s="3" t="str">
        <f>IF(C12&gt;0, D12/C12,"")</f>
        <v/>
      </c>
      <c r="F12" s="3">
        <f>IF(B12&gt;0, B12/28, "")</f>
        <v>0.25</v>
      </c>
    </row>
    <row r="13" spans="1:6" x14ac:dyDescent="0.25">
      <c r="A13" s="4" t="s">
        <v>15</v>
      </c>
      <c r="B13" s="5">
        <f>SUM(B9:B12)</f>
        <v>73</v>
      </c>
      <c r="C13" s="5">
        <f>SUM(C9:C12)</f>
        <v>954</v>
      </c>
      <c r="D13" s="5">
        <f>SUM(D9:D12)</f>
        <v>712</v>
      </c>
      <c r="E13" s="5">
        <f>IF(C13&gt;0, D13/C13, "")</f>
        <v>0.74633123689727465</v>
      </c>
      <c r="F13" s="5">
        <f>IF(B13&gt;0, B13/110, "")</f>
        <v>0.66363636363636369</v>
      </c>
    </row>
    <row r="15" spans="1:6" x14ac:dyDescent="0.25">
      <c r="A15" s="7" t="s">
        <v>16</v>
      </c>
      <c r="B15" s="8">
        <f>SUM(B6,B13)</f>
        <v>83</v>
      </c>
      <c r="C15" s="8">
        <f>SUM(C6,C13)</f>
        <v>1158</v>
      </c>
      <c r="D15" s="8">
        <f>SUM(D6,D13)</f>
        <v>880</v>
      </c>
      <c r="E15" s="8">
        <f>IF(C15&gt;0, D15/C15, "")</f>
        <v>0.75993091537132984</v>
      </c>
      <c r="F15" s="8">
        <f>IF(B15&gt;0, B15/181, "")</f>
        <v>0.4585635359116022</v>
      </c>
    </row>
    <row r="20" spans="1:5" x14ac:dyDescent="0.25">
      <c r="A20" s="9" t="s">
        <v>1</v>
      </c>
      <c r="B20" s="9" t="s">
        <v>3</v>
      </c>
      <c r="C20" s="9" t="s">
        <v>4</v>
      </c>
      <c r="D20" s="9" t="s">
        <v>5</v>
      </c>
      <c r="E20" s="9" t="s">
        <v>6</v>
      </c>
    </row>
    <row r="21" spans="1:5" x14ac:dyDescent="0.25">
      <c r="A21" t="s">
        <v>17</v>
      </c>
      <c r="B21">
        <f>C5</f>
        <v>204</v>
      </c>
      <c r="C21">
        <f>D5</f>
        <v>168</v>
      </c>
      <c r="D21">
        <f>E5</f>
        <v>0.82352941176470584</v>
      </c>
      <c r="E21">
        <f>F5</f>
        <v>0.14084507042253522</v>
      </c>
    </row>
    <row r="22" spans="1:5" x14ac:dyDescent="0.25">
      <c r="A22" t="s">
        <v>18</v>
      </c>
      <c r="B22">
        <f t="shared" ref="B22:E25" si="0">C9</f>
        <v>361</v>
      </c>
      <c r="C22">
        <f t="shared" si="0"/>
        <v>274</v>
      </c>
      <c r="D22">
        <f t="shared" si="0"/>
        <v>0.75900277008310246</v>
      </c>
      <c r="E22">
        <f t="shared" si="0"/>
        <v>1.6666666666666667</v>
      </c>
    </row>
    <row r="23" spans="1:5" x14ac:dyDescent="0.25">
      <c r="A23" t="s">
        <v>19</v>
      </c>
      <c r="B23">
        <f t="shared" si="0"/>
        <v>593</v>
      </c>
      <c r="C23">
        <f t="shared" si="0"/>
        <v>438</v>
      </c>
      <c r="D23">
        <f t="shared" si="0"/>
        <v>0.73861720067453629</v>
      </c>
      <c r="E23">
        <f t="shared" si="0"/>
        <v>1.25</v>
      </c>
    </row>
    <row r="24" spans="1:5" x14ac:dyDescent="0.25">
      <c r="A24" t="s">
        <v>20</v>
      </c>
      <c r="B24">
        <f t="shared" si="0"/>
        <v>0</v>
      </c>
      <c r="C24">
        <f t="shared" si="0"/>
        <v>0</v>
      </c>
      <c r="D24" t="str">
        <f t="shared" si="0"/>
        <v/>
      </c>
      <c r="E24">
        <f t="shared" si="0"/>
        <v>3.125E-2</v>
      </c>
    </row>
    <row r="25" spans="1:5" x14ac:dyDescent="0.25">
      <c r="A25" t="s">
        <v>21</v>
      </c>
      <c r="B25">
        <f t="shared" si="0"/>
        <v>0</v>
      </c>
      <c r="C25">
        <f t="shared" si="0"/>
        <v>0</v>
      </c>
      <c r="D25" t="str">
        <f t="shared" si="0"/>
        <v/>
      </c>
      <c r="E25">
        <f t="shared" si="0"/>
        <v>0.25</v>
      </c>
    </row>
    <row r="30" spans="1:5" x14ac:dyDescent="0.25">
      <c r="A30" s="9" t="s">
        <v>22</v>
      </c>
      <c r="B30" s="9" t="s">
        <v>3</v>
      </c>
      <c r="C30" s="9" t="s">
        <v>4</v>
      </c>
      <c r="D30" s="9" t="s">
        <v>5</v>
      </c>
      <c r="E30" s="9" t="s">
        <v>6</v>
      </c>
    </row>
    <row r="31" spans="1:5" x14ac:dyDescent="0.25">
      <c r="A31" t="s">
        <v>7</v>
      </c>
      <c r="B31">
        <f>C6</f>
        <v>204</v>
      </c>
      <c r="C31">
        <f>D6</f>
        <v>168</v>
      </c>
      <c r="D31">
        <f>E6</f>
        <v>0.82352941176470584</v>
      </c>
      <c r="E31">
        <f>F6</f>
        <v>0.14084507042253522</v>
      </c>
    </row>
    <row r="32" spans="1:5" x14ac:dyDescent="0.25">
      <c r="A32" t="s">
        <v>23</v>
      </c>
      <c r="B32">
        <f>C13</f>
        <v>954</v>
      </c>
      <c r="C32">
        <f>D13</f>
        <v>712</v>
      </c>
      <c r="D32">
        <f>E13</f>
        <v>0.74633123689727465</v>
      </c>
      <c r="E32">
        <f>F13</f>
        <v>0.66363636363636369</v>
      </c>
    </row>
  </sheetData>
  <mergeCells count="3">
    <mergeCell ref="A1:F1"/>
    <mergeCell ref="A4:F4"/>
    <mergeCell ref="A8:F8"/>
  </mergeCells>
  <phoneticPr fontId="10" type="noConversion"/>
  <conditionalFormatting sqref="E5:E6">
    <cfRule type="cellIs" dxfId="230" priority="1" operator="greaterThanOrEqual">
      <formula>0.9</formula>
    </cfRule>
    <cfRule type="cellIs" dxfId="229" priority="2" operator="between">
      <formula>0.8</formula>
      <formula>0.9</formula>
    </cfRule>
    <cfRule type="cellIs" dxfId="228" priority="3" operator="lessThan">
      <formula>0.8</formula>
    </cfRule>
  </conditionalFormatting>
  <conditionalFormatting sqref="E9:E13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E15">
    <cfRule type="cellIs" dxfId="224" priority="37" operator="greaterThanOrEqual">
      <formula>0.9</formula>
    </cfRule>
    <cfRule type="cellIs" dxfId="223" priority="38" operator="between">
      <formula>0.8</formula>
      <formula>0.9</formula>
    </cfRule>
    <cfRule type="cellIs" dxfId="222" priority="39" operator="lessThan">
      <formula>0.8</formula>
    </cfRule>
  </conditionalFormatting>
  <conditionalFormatting sqref="F5">
    <cfRule type="cellIs" dxfId="221" priority="4" operator="greaterThanOrEqual">
      <formula>0.9</formula>
    </cfRule>
    <cfRule type="cellIs" dxfId="220" priority="5" operator="between">
      <formula>0.8</formula>
      <formula>0.9</formula>
    </cfRule>
    <cfRule type="cellIs" dxfId="219" priority="6" operator="lessThan">
      <formula>0.8</formula>
    </cfRule>
  </conditionalFormatting>
  <conditionalFormatting sqref="F9:F12">
    <cfRule type="cellIs" dxfId="218" priority="10" operator="greaterThanOrEqual">
      <formula>0.9</formula>
    </cfRule>
    <cfRule type="cellIs" dxfId="217" priority="11" operator="between">
      <formula>0.8</formula>
      <formula>0.9</formula>
    </cfRule>
    <cfRule type="cellIs" dxfId="216" priority="12" operator="lessThan">
      <formula>0.8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E279"/>
  <sheetViews>
    <sheetView workbookViewId="0">
      <selection activeCell="B6" sqref="B6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20" t="s">
        <v>24</v>
      </c>
      <c r="B1" s="21"/>
      <c r="C1" s="21"/>
      <c r="D1" s="21"/>
      <c r="E1" s="21"/>
    </row>
    <row r="3" spans="1:5" x14ac:dyDescent="0.25">
      <c r="A3" s="1" t="s">
        <v>25</v>
      </c>
      <c r="B3" s="1" t="s">
        <v>26</v>
      </c>
      <c r="C3" s="1" t="s">
        <v>27</v>
      </c>
      <c r="D3" s="1" t="s">
        <v>4</v>
      </c>
      <c r="E3" s="1" t="s">
        <v>5</v>
      </c>
    </row>
    <row r="4" spans="1:5" ht="15" x14ac:dyDescent="0.25">
      <c r="A4" s="23" t="s">
        <v>28</v>
      </c>
      <c r="B4" s="18"/>
      <c r="C4" s="18"/>
      <c r="D4" s="18"/>
      <c r="E4" s="19"/>
    </row>
    <row r="5" spans="1:5" x14ac:dyDescent="0.25">
      <c r="A5" s="10" t="s">
        <v>29</v>
      </c>
      <c r="B5" s="6"/>
      <c r="C5" s="6"/>
      <c r="D5" s="6"/>
      <c r="E5" s="6"/>
    </row>
    <row r="6" spans="1:5" ht="15" x14ac:dyDescent="0.25">
      <c r="A6" s="11" t="s">
        <v>30</v>
      </c>
      <c r="B6" s="3"/>
      <c r="C6" s="15">
        <v>10</v>
      </c>
      <c r="D6" s="15">
        <v>10</v>
      </c>
      <c r="E6" s="16">
        <f t="shared" ref="E6:E16" si="0">IF(AND(C6&lt;&gt;"",D6&lt;&gt;""),D6/C6,"")</f>
        <v>1</v>
      </c>
    </row>
    <row r="7" spans="1:5" ht="15" x14ac:dyDescent="0.25">
      <c r="A7" s="11" t="s">
        <v>31</v>
      </c>
      <c r="B7" s="3"/>
      <c r="C7" s="15">
        <v>23</v>
      </c>
      <c r="D7" s="15">
        <v>20</v>
      </c>
      <c r="E7" s="16">
        <f t="shared" si="0"/>
        <v>0.86956521739130432</v>
      </c>
    </row>
    <row r="8" spans="1:5" ht="15" x14ac:dyDescent="0.25">
      <c r="A8" s="11" t="s">
        <v>32</v>
      </c>
      <c r="B8" s="3"/>
      <c r="C8" s="15">
        <v>12</v>
      </c>
      <c r="D8" s="15">
        <v>11</v>
      </c>
      <c r="E8" s="16">
        <f t="shared" si="0"/>
        <v>0.91666666666666663</v>
      </c>
    </row>
    <row r="9" spans="1:5" ht="15" x14ac:dyDescent="0.25">
      <c r="A9" s="11" t="s">
        <v>33</v>
      </c>
      <c r="B9" s="3"/>
      <c r="C9" s="15">
        <v>15</v>
      </c>
      <c r="D9" s="15">
        <v>12</v>
      </c>
      <c r="E9" s="16">
        <f t="shared" si="0"/>
        <v>0.8</v>
      </c>
    </row>
    <row r="10" spans="1:5" ht="15" x14ac:dyDescent="0.25">
      <c r="A10" s="11" t="s">
        <v>34</v>
      </c>
      <c r="B10" s="3"/>
      <c r="C10" s="15">
        <v>18</v>
      </c>
      <c r="D10" s="15">
        <v>15</v>
      </c>
      <c r="E10" s="16">
        <f t="shared" si="0"/>
        <v>0.83333333333333337</v>
      </c>
    </row>
    <row r="11" spans="1:5" ht="15" x14ac:dyDescent="0.25">
      <c r="A11" s="11" t="s">
        <v>35</v>
      </c>
      <c r="B11" s="3"/>
      <c r="C11" s="15">
        <v>24</v>
      </c>
      <c r="D11" s="15">
        <v>18</v>
      </c>
      <c r="E11" s="16">
        <f t="shared" si="0"/>
        <v>0.75</v>
      </c>
    </row>
    <row r="12" spans="1:5" ht="15" x14ac:dyDescent="0.25">
      <c r="A12" s="11" t="s">
        <v>36</v>
      </c>
      <c r="B12" s="3"/>
      <c r="C12" s="15">
        <v>22</v>
      </c>
      <c r="D12" s="15">
        <v>20</v>
      </c>
      <c r="E12" s="16">
        <f t="shared" si="0"/>
        <v>0.90909090909090906</v>
      </c>
    </row>
    <row r="13" spans="1:5" ht="15" x14ac:dyDescent="0.25">
      <c r="A13" s="11" t="s">
        <v>37</v>
      </c>
      <c r="B13" s="3"/>
      <c r="C13" s="15"/>
      <c r="D13" s="15"/>
      <c r="E13" s="16" t="str">
        <f t="shared" si="0"/>
        <v/>
      </c>
    </row>
    <row r="14" spans="1:5" ht="15" x14ac:dyDescent="0.25">
      <c r="A14" s="11" t="s">
        <v>38</v>
      </c>
      <c r="B14" s="3"/>
      <c r="C14" s="15">
        <v>25</v>
      </c>
      <c r="D14" s="15">
        <v>24</v>
      </c>
      <c r="E14" s="16">
        <f t="shared" si="0"/>
        <v>0.96</v>
      </c>
    </row>
    <row r="15" spans="1:5" ht="15" x14ac:dyDescent="0.25">
      <c r="A15" s="11" t="s">
        <v>39</v>
      </c>
      <c r="B15" s="3"/>
      <c r="C15" s="15">
        <v>36</v>
      </c>
      <c r="D15" s="15">
        <v>28</v>
      </c>
      <c r="E15" s="16">
        <f t="shared" si="0"/>
        <v>0.77777777777777779</v>
      </c>
    </row>
    <row r="16" spans="1:5" ht="15" x14ac:dyDescent="0.25">
      <c r="A16" s="11" t="s">
        <v>40</v>
      </c>
      <c r="B16" s="3"/>
      <c r="C16" s="15">
        <v>19</v>
      </c>
      <c r="D16" s="15">
        <v>10</v>
      </c>
      <c r="E16" s="16">
        <f t="shared" si="0"/>
        <v>0.52631578947368418</v>
      </c>
    </row>
    <row r="17" spans="1:5" x14ac:dyDescent="0.25">
      <c r="A17" s="11" t="s">
        <v>41</v>
      </c>
      <c r="B17" s="3"/>
      <c r="C17" s="3"/>
      <c r="D17" s="3"/>
      <c r="E17" s="3" t="str">
        <f t="shared" ref="E17:E24" si="1">IF(AND(C17&lt;&gt;"",D17&lt;&gt;""),D17/C17,"")</f>
        <v/>
      </c>
    </row>
    <row r="18" spans="1:5" x14ac:dyDescent="0.25">
      <c r="A18" s="11" t="s">
        <v>42</v>
      </c>
      <c r="B18" s="3"/>
      <c r="C18" s="3"/>
      <c r="D18" s="3"/>
      <c r="E18" s="3" t="str">
        <f t="shared" si="1"/>
        <v/>
      </c>
    </row>
    <row r="19" spans="1:5" x14ac:dyDescent="0.25">
      <c r="A19" s="11" t="s">
        <v>43</v>
      </c>
      <c r="B19" s="3"/>
      <c r="C19" s="3"/>
      <c r="D19" s="3"/>
      <c r="E19" s="3" t="str">
        <f t="shared" si="1"/>
        <v/>
      </c>
    </row>
    <row r="20" spans="1:5" x14ac:dyDescent="0.25">
      <c r="A20" s="11" t="s">
        <v>44</v>
      </c>
      <c r="B20" s="3"/>
      <c r="C20" s="3"/>
      <c r="D20" s="3"/>
      <c r="E20" s="3" t="str">
        <f t="shared" si="1"/>
        <v/>
      </c>
    </row>
    <row r="21" spans="1:5" x14ac:dyDescent="0.25">
      <c r="A21" s="11" t="s">
        <v>45</v>
      </c>
      <c r="B21" s="3"/>
      <c r="C21" s="3"/>
      <c r="D21" s="3"/>
      <c r="E21" s="3" t="str">
        <f t="shared" si="1"/>
        <v/>
      </c>
    </row>
    <row r="22" spans="1:5" x14ac:dyDescent="0.25">
      <c r="A22" s="11" t="s">
        <v>46</v>
      </c>
      <c r="B22" s="3"/>
      <c r="C22" s="3"/>
      <c r="D22" s="3"/>
      <c r="E22" s="3" t="str">
        <f t="shared" si="1"/>
        <v/>
      </c>
    </row>
    <row r="23" spans="1:5" x14ac:dyDescent="0.25">
      <c r="A23" s="11" t="s">
        <v>47</v>
      </c>
      <c r="B23" s="3"/>
      <c r="C23" s="3"/>
      <c r="D23" s="3"/>
      <c r="E23" s="3" t="str">
        <f t="shared" si="1"/>
        <v/>
      </c>
    </row>
    <row r="24" spans="1:5" x14ac:dyDescent="0.25">
      <c r="A24" s="11" t="s">
        <v>48</v>
      </c>
      <c r="B24" s="3"/>
      <c r="C24" s="3"/>
      <c r="D24" s="3"/>
      <c r="E24" s="3" t="str">
        <f t="shared" si="1"/>
        <v/>
      </c>
    </row>
    <row r="25" spans="1:5" x14ac:dyDescent="0.25">
      <c r="A25" s="10" t="s">
        <v>49</v>
      </c>
      <c r="B25" s="6"/>
      <c r="C25" s="6"/>
      <c r="D25" s="6"/>
      <c r="E25" s="6"/>
    </row>
    <row r="26" spans="1:5" x14ac:dyDescent="0.25">
      <c r="A26" s="11" t="s">
        <v>50</v>
      </c>
      <c r="B26" s="3"/>
      <c r="C26" s="3"/>
      <c r="D26" s="3"/>
      <c r="E26" s="3" t="str">
        <f t="shared" ref="E26:E31" si="2">IF(AND(C26&lt;&gt;"",D26&lt;&gt;""),D26/C26,"")</f>
        <v/>
      </c>
    </row>
    <row r="27" spans="1:5" x14ac:dyDescent="0.25">
      <c r="A27" s="11" t="s">
        <v>51</v>
      </c>
      <c r="B27" s="3"/>
      <c r="C27" s="3"/>
      <c r="D27" s="3"/>
      <c r="E27" s="3" t="str">
        <f t="shared" si="2"/>
        <v/>
      </c>
    </row>
    <row r="28" spans="1:5" x14ac:dyDescent="0.25">
      <c r="A28" s="11" t="s">
        <v>52</v>
      </c>
      <c r="B28" s="3"/>
      <c r="C28" s="3"/>
      <c r="D28" s="3"/>
      <c r="E28" s="3" t="str">
        <f t="shared" si="2"/>
        <v/>
      </c>
    </row>
    <row r="29" spans="1:5" x14ac:dyDescent="0.25">
      <c r="A29" s="11" t="s">
        <v>53</v>
      </c>
      <c r="B29" s="3"/>
      <c r="C29" s="3"/>
      <c r="D29" s="3"/>
      <c r="E29" s="3" t="str">
        <f t="shared" si="2"/>
        <v/>
      </c>
    </row>
    <row r="30" spans="1:5" x14ac:dyDescent="0.25">
      <c r="A30" s="11" t="s">
        <v>54</v>
      </c>
      <c r="B30" s="3"/>
      <c r="C30" s="3"/>
      <c r="D30" s="3"/>
      <c r="E30" s="3" t="str">
        <f t="shared" si="2"/>
        <v/>
      </c>
    </row>
    <row r="31" spans="1:5" x14ac:dyDescent="0.25">
      <c r="A31" s="11" t="s">
        <v>55</v>
      </c>
      <c r="B31" s="3"/>
      <c r="C31" s="3"/>
      <c r="D31" s="3"/>
      <c r="E31" s="3" t="str">
        <f t="shared" si="2"/>
        <v/>
      </c>
    </row>
    <row r="32" spans="1:5" x14ac:dyDescent="0.25">
      <c r="A32" s="10" t="s">
        <v>56</v>
      </c>
      <c r="B32" s="6"/>
      <c r="C32" s="6"/>
      <c r="D32" s="6"/>
      <c r="E32" s="6"/>
    </row>
    <row r="33" spans="1:5" x14ac:dyDescent="0.25">
      <c r="A33" s="11" t="s">
        <v>57</v>
      </c>
      <c r="B33" s="3"/>
      <c r="C33" s="3"/>
      <c r="D33" s="3"/>
      <c r="E33" s="3" t="str">
        <f t="shared" ref="E33:E38" si="3">IF(AND(C33&lt;&gt;"",D33&lt;&gt;""),D33/C33,"")</f>
        <v/>
      </c>
    </row>
    <row r="34" spans="1:5" x14ac:dyDescent="0.25">
      <c r="A34" s="11" t="s">
        <v>58</v>
      </c>
      <c r="B34" s="3"/>
      <c r="C34" s="3"/>
      <c r="D34" s="3"/>
      <c r="E34" s="3" t="str">
        <f t="shared" si="3"/>
        <v/>
      </c>
    </row>
    <row r="35" spans="1:5" x14ac:dyDescent="0.25">
      <c r="A35" s="11" t="s">
        <v>59</v>
      </c>
      <c r="B35" s="3"/>
      <c r="C35" s="3"/>
      <c r="D35" s="3"/>
      <c r="E35" s="3" t="str">
        <f t="shared" si="3"/>
        <v/>
      </c>
    </row>
    <row r="36" spans="1:5" x14ac:dyDescent="0.25">
      <c r="A36" s="11" t="s">
        <v>60</v>
      </c>
      <c r="B36" s="3"/>
      <c r="C36" s="3"/>
      <c r="D36" s="3"/>
      <c r="E36" s="3" t="str">
        <f t="shared" si="3"/>
        <v/>
      </c>
    </row>
    <row r="37" spans="1:5" x14ac:dyDescent="0.25">
      <c r="A37" s="11" t="s">
        <v>61</v>
      </c>
      <c r="B37" s="3"/>
      <c r="C37" s="3"/>
      <c r="D37" s="3"/>
      <c r="E37" s="3" t="str">
        <f t="shared" si="3"/>
        <v/>
      </c>
    </row>
    <row r="38" spans="1:5" x14ac:dyDescent="0.25">
      <c r="A38" s="11" t="s">
        <v>62</v>
      </c>
      <c r="B38" s="3"/>
      <c r="C38" s="3"/>
      <c r="D38" s="3"/>
      <c r="E38" s="3" t="str">
        <f t="shared" si="3"/>
        <v/>
      </c>
    </row>
    <row r="39" spans="1:5" x14ac:dyDescent="0.25">
      <c r="A39" s="12" t="s">
        <v>63</v>
      </c>
      <c r="B39" s="5"/>
      <c r="C39" s="5">
        <f>SUM(C5:C38)</f>
        <v>204</v>
      </c>
      <c r="D39" s="5">
        <f>SUM(D5:D38)</f>
        <v>168</v>
      </c>
      <c r="E39" s="5">
        <f>IF(C39&gt;0, D39/C39,"")</f>
        <v>0.82352941176470584</v>
      </c>
    </row>
    <row r="41" spans="1:5" ht="15" x14ac:dyDescent="0.25">
      <c r="A41" s="23" t="s">
        <v>64</v>
      </c>
      <c r="B41" s="18"/>
      <c r="C41" s="18"/>
      <c r="D41" s="18"/>
      <c r="E41" s="19"/>
    </row>
    <row r="42" spans="1:5" x14ac:dyDescent="0.25">
      <c r="A42" s="10" t="s">
        <v>29</v>
      </c>
      <c r="B42" s="6"/>
      <c r="C42" s="6"/>
      <c r="D42" s="6"/>
      <c r="E42" s="6"/>
    </row>
    <row r="43" spans="1:5" x14ac:dyDescent="0.25">
      <c r="A43" s="11" t="s">
        <v>31</v>
      </c>
      <c r="B43" s="3"/>
      <c r="C43" s="3"/>
      <c r="D43" s="3"/>
      <c r="E43" s="3" t="str">
        <f t="shared" ref="E43:E60" si="4">IF(AND(C43&lt;&gt;"",D43&lt;&gt;""),D43/C43,"")</f>
        <v/>
      </c>
    </row>
    <row r="44" spans="1:5" x14ac:dyDescent="0.25">
      <c r="A44" s="11" t="s">
        <v>32</v>
      </c>
      <c r="B44" s="3"/>
      <c r="C44" s="3"/>
      <c r="D44" s="3"/>
      <c r="E44" s="3" t="str">
        <f t="shared" si="4"/>
        <v/>
      </c>
    </row>
    <row r="45" spans="1:5" x14ac:dyDescent="0.25">
      <c r="A45" s="11" t="s">
        <v>33</v>
      </c>
      <c r="B45" s="3"/>
      <c r="C45" s="3"/>
      <c r="D45" s="3"/>
      <c r="E45" s="3" t="str">
        <f t="shared" si="4"/>
        <v/>
      </c>
    </row>
    <row r="46" spans="1:5" x14ac:dyDescent="0.25">
      <c r="A46" s="11" t="s">
        <v>34</v>
      </c>
      <c r="B46" s="3"/>
      <c r="C46" s="3"/>
      <c r="D46" s="3"/>
      <c r="E46" s="3" t="str">
        <f t="shared" si="4"/>
        <v/>
      </c>
    </row>
    <row r="47" spans="1:5" x14ac:dyDescent="0.25">
      <c r="A47" s="11" t="s">
        <v>35</v>
      </c>
      <c r="B47" s="3"/>
      <c r="C47" s="3"/>
      <c r="D47" s="3"/>
      <c r="E47" s="3" t="str">
        <f t="shared" si="4"/>
        <v/>
      </c>
    </row>
    <row r="48" spans="1:5" x14ac:dyDescent="0.25">
      <c r="A48" s="11" t="s">
        <v>36</v>
      </c>
      <c r="B48" s="3"/>
      <c r="C48" s="3"/>
      <c r="D48" s="3"/>
      <c r="E48" s="3" t="str">
        <f t="shared" si="4"/>
        <v/>
      </c>
    </row>
    <row r="49" spans="1:5" x14ac:dyDescent="0.25">
      <c r="A49" s="11" t="s">
        <v>37</v>
      </c>
      <c r="B49" s="3"/>
      <c r="C49" s="3"/>
      <c r="D49" s="3"/>
      <c r="E49" s="3" t="str">
        <f t="shared" si="4"/>
        <v/>
      </c>
    </row>
    <row r="50" spans="1:5" x14ac:dyDescent="0.25">
      <c r="A50" s="11" t="s">
        <v>38</v>
      </c>
      <c r="B50" s="3"/>
      <c r="C50" s="3"/>
      <c r="D50" s="3"/>
      <c r="E50" s="3" t="str">
        <f t="shared" si="4"/>
        <v/>
      </c>
    </row>
    <row r="51" spans="1:5" x14ac:dyDescent="0.25">
      <c r="A51" s="11" t="s">
        <v>39</v>
      </c>
      <c r="B51" s="3"/>
      <c r="C51" s="3"/>
      <c r="D51" s="3"/>
      <c r="E51" s="3" t="str">
        <f t="shared" si="4"/>
        <v/>
      </c>
    </row>
    <row r="52" spans="1:5" x14ac:dyDescent="0.25">
      <c r="A52" s="11" t="s">
        <v>40</v>
      </c>
      <c r="B52" s="3"/>
      <c r="C52" s="3"/>
      <c r="D52" s="3"/>
      <c r="E52" s="3" t="str">
        <f t="shared" si="4"/>
        <v/>
      </c>
    </row>
    <row r="53" spans="1:5" x14ac:dyDescent="0.25">
      <c r="A53" s="11" t="s">
        <v>41</v>
      </c>
      <c r="B53" s="3"/>
      <c r="C53" s="3"/>
      <c r="D53" s="3"/>
      <c r="E53" s="3" t="str">
        <f t="shared" si="4"/>
        <v/>
      </c>
    </row>
    <row r="54" spans="1:5" x14ac:dyDescent="0.25">
      <c r="A54" s="11" t="s">
        <v>42</v>
      </c>
      <c r="B54" s="3"/>
      <c r="C54" s="3"/>
      <c r="D54" s="3"/>
      <c r="E54" s="3" t="str">
        <f t="shared" si="4"/>
        <v/>
      </c>
    </row>
    <row r="55" spans="1:5" x14ac:dyDescent="0.25">
      <c r="A55" s="11" t="s">
        <v>43</v>
      </c>
      <c r="B55" s="3"/>
      <c r="C55" s="3"/>
      <c r="D55" s="3"/>
      <c r="E55" s="3" t="str">
        <f t="shared" si="4"/>
        <v/>
      </c>
    </row>
    <row r="56" spans="1:5" x14ac:dyDescent="0.25">
      <c r="A56" s="11" t="s">
        <v>44</v>
      </c>
      <c r="B56" s="3"/>
      <c r="C56" s="3"/>
      <c r="D56" s="3"/>
      <c r="E56" s="3" t="str">
        <f t="shared" si="4"/>
        <v/>
      </c>
    </row>
    <row r="57" spans="1:5" x14ac:dyDescent="0.25">
      <c r="A57" s="11" t="s">
        <v>45</v>
      </c>
      <c r="B57" s="3"/>
      <c r="C57" s="3"/>
      <c r="D57" s="3"/>
      <c r="E57" s="3" t="str">
        <f t="shared" si="4"/>
        <v/>
      </c>
    </row>
    <row r="58" spans="1:5" x14ac:dyDescent="0.25">
      <c r="A58" s="11" t="s">
        <v>46</v>
      </c>
      <c r="B58" s="3"/>
      <c r="C58" s="3"/>
      <c r="D58" s="3"/>
      <c r="E58" s="3" t="str">
        <f t="shared" si="4"/>
        <v/>
      </c>
    </row>
    <row r="59" spans="1:5" x14ac:dyDescent="0.25">
      <c r="A59" s="11" t="s">
        <v>47</v>
      </c>
      <c r="B59" s="3"/>
      <c r="C59" s="3"/>
      <c r="D59" s="3"/>
      <c r="E59" s="3" t="str">
        <f t="shared" si="4"/>
        <v/>
      </c>
    </row>
    <row r="60" spans="1:5" x14ac:dyDescent="0.25">
      <c r="A60" s="11" t="s">
        <v>48</v>
      </c>
      <c r="B60" s="3"/>
      <c r="C60" s="3"/>
      <c r="D60" s="3"/>
      <c r="E60" s="3" t="str">
        <f t="shared" si="4"/>
        <v/>
      </c>
    </row>
    <row r="61" spans="1:5" x14ac:dyDescent="0.25">
      <c r="A61" s="12" t="s">
        <v>65</v>
      </c>
      <c r="B61" s="5"/>
      <c r="C61" s="5">
        <f>SUM(C42:C60)</f>
        <v>0</v>
      </c>
      <c r="D61" s="5">
        <f>SUM(D42:D60)</f>
        <v>0</v>
      </c>
      <c r="E61" s="5" t="str">
        <f>IF(C61&gt;0, D61/C61,"")</f>
        <v/>
      </c>
    </row>
    <row r="63" spans="1:5" ht="15" x14ac:dyDescent="0.25">
      <c r="A63" s="23" t="s">
        <v>66</v>
      </c>
      <c r="B63" s="18"/>
      <c r="C63" s="18"/>
      <c r="D63" s="18"/>
      <c r="E63" s="19"/>
    </row>
    <row r="64" spans="1:5" x14ac:dyDescent="0.25">
      <c r="A64" s="10" t="s">
        <v>49</v>
      </c>
      <c r="B64" s="6"/>
      <c r="C64" s="6"/>
      <c r="D64" s="6"/>
      <c r="E64" s="6"/>
    </row>
    <row r="65" spans="1:5" x14ac:dyDescent="0.25">
      <c r="A65" s="11" t="s">
        <v>50</v>
      </c>
      <c r="B65" s="3"/>
      <c r="C65" s="3"/>
      <c r="D65" s="3"/>
      <c r="E65" s="3" t="str">
        <f t="shared" ref="E65:E73" si="5">IF(AND(C65&lt;&gt;"",D65&lt;&gt;""),D65/C65,"")</f>
        <v/>
      </c>
    </row>
    <row r="66" spans="1:5" x14ac:dyDescent="0.25">
      <c r="A66" s="11" t="s">
        <v>67</v>
      </c>
      <c r="B66" s="3"/>
      <c r="C66" s="3"/>
      <c r="D66" s="3"/>
      <c r="E66" s="3" t="str">
        <f t="shared" si="5"/>
        <v/>
      </c>
    </row>
    <row r="67" spans="1:5" x14ac:dyDescent="0.25">
      <c r="A67" s="11" t="s">
        <v>68</v>
      </c>
      <c r="B67" s="3"/>
      <c r="C67" s="3"/>
      <c r="D67" s="3"/>
      <c r="E67" s="3" t="str">
        <f t="shared" si="5"/>
        <v/>
      </c>
    </row>
    <row r="68" spans="1:5" x14ac:dyDescent="0.25">
      <c r="A68" s="11" t="s">
        <v>69</v>
      </c>
      <c r="B68" s="3"/>
      <c r="C68" s="3"/>
      <c r="D68" s="3"/>
      <c r="E68" s="3" t="str">
        <f t="shared" si="5"/>
        <v/>
      </c>
    </row>
    <row r="69" spans="1:5" x14ac:dyDescent="0.25">
      <c r="A69" s="11" t="s">
        <v>70</v>
      </c>
      <c r="B69" s="3"/>
      <c r="C69" s="3"/>
      <c r="D69" s="3"/>
      <c r="E69" s="3" t="str">
        <f t="shared" si="5"/>
        <v/>
      </c>
    </row>
    <row r="70" spans="1:5" x14ac:dyDescent="0.25">
      <c r="A70" s="11" t="s">
        <v>71</v>
      </c>
      <c r="B70" s="3"/>
      <c r="C70" s="3"/>
      <c r="D70" s="3"/>
      <c r="E70" s="3" t="str">
        <f t="shared" si="5"/>
        <v/>
      </c>
    </row>
    <row r="71" spans="1:5" x14ac:dyDescent="0.25">
      <c r="A71" s="11" t="s">
        <v>72</v>
      </c>
      <c r="B71" s="3"/>
      <c r="C71" s="3"/>
      <c r="D71" s="3"/>
      <c r="E71" s="3" t="str">
        <f t="shared" si="5"/>
        <v/>
      </c>
    </row>
    <row r="72" spans="1:5" x14ac:dyDescent="0.25">
      <c r="A72" s="11" t="s">
        <v>73</v>
      </c>
      <c r="B72" s="3"/>
      <c r="C72" s="3"/>
      <c r="D72" s="3"/>
      <c r="E72" s="3" t="str">
        <f t="shared" si="5"/>
        <v/>
      </c>
    </row>
    <row r="73" spans="1:5" x14ac:dyDescent="0.25">
      <c r="A73" s="11" t="s">
        <v>74</v>
      </c>
      <c r="B73" s="3"/>
      <c r="C73" s="3"/>
      <c r="D73" s="3"/>
      <c r="E73" s="3" t="str">
        <f t="shared" si="5"/>
        <v/>
      </c>
    </row>
    <row r="74" spans="1:5" x14ac:dyDescent="0.25">
      <c r="A74" s="10" t="s">
        <v>56</v>
      </c>
      <c r="B74" s="6"/>
      <c r="C74" s="6"/>
      <c r="D74" s="6"/>
      <c r="E74" s="6"/>
    </row>
    <row r="75" spans="1:5" x14ac:dyDescent="0.25">
      <c r="A75" s="11" t="s">
        <v>75</v>
      </c>
      <c r="B75" s="3"/>
      <c r="C75" s="3"/>
      <c r="D75" s="3"/>
      <c r="E75" s="3" t="str">
        <f t="shared" ref="E75:E83" si="6">IF(AND(C75&lt;&gt;"",D75&lt;&gt;""),D75/C75,"")</f>
        <v/>
      </c>
    </row>
    <row r="76" spans="1:5" x14ac:dyDescent="0.25">
      <c r="A76" s="11" t="s">
        <v>58</v>
      </c>
      <c r="B76" s="3"/>
      <c r="C76" s="3"/>
      <c r="D76" s="3"/>
      <c r="E76" s="3" t="str">
        <f t="shared" si="6"/>
        <v/>
      </c>
    </row>
    <row r="77" spans="1:5" x14ac:dyDescent="0.25">
      <c r="A77" s="11" t="s">
        <v>76</v>
      </c>
      <c r="B77" s="3"/>
      <c r="C77" s="3"/>
      <c r="D77" s="3"/>
      <c r="E77" s="3" t="str">
        <f t="shared" si="6"/>
        <v/>
      </c>
    </row>
    <row r="78" spans="1:5" x14ac:dyDescent="0.25">
      <c r="A78" s="11" t="s">
        <v>77</v>
      </c>
      <c r="B78" s="3"/>
      <c r="C78" s="3"/>
      <c r="D78" s="3"/>
      <c r="E78" s="3" t="str">
        <f t="shared" si="6"/>
        <v/>
      </c>
    </row>
    <row r="79" spans="1:5" x14ac:dyDescent="0.25">
      <c r="A79" s="11" t="s">
        <v>78</v>
      </c>
      <c r="B79" s="3"/>
      <c r="C79" s="3"/>
      <c r="D79" s="3"/>
      <c r="E79" s="3" t="str">
        <f t="shared" si="6"/>
        <v/>
      </c>
    </row>
    <row r="80" spans="1:5" x14ac:dyDescent="0.25">
      <c r="A80" s="11" t="s">
        <v>79</v>
      </c>
      <c r="B80" s="3"/>
      <c r="C80" s="3"/>
      <c r="D80" s="3"/>
      <c r="E80" s="3" t="str">
        <f t="shared" si="6"/>
        <v/>
      </c>
    </row>
    <row r="81" spans="1:5" x14ac:dyDescent="0.25">
      <c r="A81" s="11" t="s">
        <v>80</v>
      </c>
      <c r="B81" s="3"/>
      <c r="C81" s="3"/>
      <c r="D81" s="3"/>
      <c r="E81" s="3" t="str">
        <f t="shared" si="6"/>
        <v/>
      </c>
    </row>
    <row r="82" spans="1:5" x14ac:dyDescent="0.25">
      <c r="A82" s="11" t="s">
        <v>81</v>
      </c>
      <c r="B82" s="3"/>
      <c r="C82" s="3"/>
      <c r="D82" s="3"/>
      <c r="E82" s="3" t="str">
        <f t="shared" si="6"/>
        <v/>
      </c>
    </row>
    <row r="83" spans="1:5" x14ac:dyDescent="0.25">
      <c r="A83" s="11" t="s">
        <v>82</v>
      </c>
      <c r="B83" s="3"/>
      <c r="C83" s="3"/>
      <c r="D83" s="3"/>
      <c r="E83" s="3" t="str">
        <f t="shared" si="6"/>
        <v/>
      </c>
    </row>
    <row r="84" spans="1:5" ht="15" x14ac:dyDescent="0.25">
      <c r="A84" s="23" t="s">
        <v>83</v>
      </c>
      <c r="B84" s="18"/>
      <c r="C84" s="18"/>
      <c r="D84" s="18"/>
      <c r="E84" s="19"/>
    </row>
    <row r="85" spans="1:5" x14ac:dyDescent="0.25">
      <c r="A85" s="11" t="s">
        <v>84</v>
      </c>
      <c r="B85" s="3"/>
      <c r="C85" s="3"/>
      <c r="D85" s="3"/>
      <c r="E85" s="3" t="str">
        <f>IF(AND(C85&lt;&gt;"",D85&lt;&gt;""),D85/C85,"")</f>
        <v/>
      </c>
    </row>
    <row r="86" spans="1:5" x14ac:dyDescent="0.25">
      <c r="A86" s="11" t="s">
        <v>85</v>
      </c>
      <c r="B86" s="3"/>
      <c r="C86" s="3"/>
      <c r="D86" s="3"/>
      <c r="E86" s="3" t="str">
        <f>IF(AND(C86&lt;&gt;"",D86&lt;&gt;""),D86/C86,"")</f>
        <v/>
      </c>
    </row>
    <row r="87" spans="1:5" x14ac:dyDescent="0.25">
      <c r="A87" s="11" t="s">
        <v>86</v>
      </c>
      <c r="B87" s="3"/>
      <c r="C87" s="3"/>
      <c r="D87" s="3"/>
      <c r="E87" s="3" t="str">
        <f>IF(AND(C87&lt;&gt;"",D87&lt;&gt;""),D87/C87,"")</f>
        <v/>
      </c>
    </row>
    <row r="88" spans="1:5" x14ac:dyDescent="0.25">
      <c r="A88" s="11" t="s">
        <v>87</v>
      </c>
      <c r="B88" s="3"/>
      <c r="C88" s="3"/>
      <c r="D88" s="3"/>
      <c r="E88" s="3" t="str">
        <f>IF(AND(C88&lt;&gt;"",D88&lt;&gt;""),D88/C88,"")</f>
        <v/>
      </c>
    </row>
    <row r="89" spans="1:5" x14ac:dyDescent="0.25">
      <c r="A89" s="12" t="s">
        <v>88</v>
      </c>
      <c r="B89" s="5"/>
      <c r="C89" s="5">
        <f>SUM(C64:C88)</f>
        <v>0</v>
      </c>
      <c r="D89" s="5">
        <f>SUM(D64:D88)</f>
        <v>0</v>
      </c>
      <c r="E89" s="5" t="str">
        <f>IF(C89&gt;0, D89/C89,"")</f>
        <v/>
      </c>
    </row>
    <row r="91" spans="1:5" x14ac:dyDescent="0.25">
      <c r="A91" s="8" t="s">
        <v>89</v>
      </c>
      <c r="B91" s="8"/>
      <c r="C91" s="8">
        <f>C39+C61+C89</f>
        <v>204</v>
      </c>
      <c r="D91" s="8">
        <f>D39+D61+D89</f>
        <v>168</v>
      </c>
      <c r="E91" s="8">
        <f>IF(C91&gt;0, D91/C91,"")</f>
        <v>0.82352941176470584</v>
      </c>
    </row>
    <row r="94" spans="1:5" x14ac:dyDescent="0.25">
      <c r="A94" s="9" t="s">
        <v>90</v>
      </c>
      <c r="B94" s="9" t="s">
        <v>5</v>
      </c>
    </row>
    <row r="95" spans="1:5" x14ac:dyDescent="0.25">
      <c r="A95" t="s">
        <v>30</v>
      </c>
      <c r="B95">
        <f t="shared" ref="B95:B113" si="7">IF(AND(C6&lt;&gt;"",D6&lt;&gt;""),D6/C6,"")</f>
        <v>1</v>
      </c>
    </row>
    <row r="96" spans="1:5" x14ac:dyDescent="0.25">
      <c r="A96" t="s">
        <v>31</v>
      </c>
      <c r="B96">
        <f t="shared" si="7"/>
        <v>0.86956521739130432</v>
      </c>
    </row>
    <row r="97" spans="1:2" x14ac:dyDescent="0.25">
      <c r="A97" t="s">
        <v>32</v>
      </c>
      <c r="B97">
        <f t="shared" si="7"/>
        <v>0.91666666666666663</v>
      </c>
    </row>
    <row r="98" spans="1:2" x14ac:dyDescent="0.25">
      <c r="A98" t="s">
        <v>33</v>
      </c>
      <c r="B98">
        <f t="shared" si="7"/>
        <v>0.8</v>
      </c>
    </row>
    <row r="99" spans="1:2" x14ac:dyDescent="0.25">
      <c r="A99" t="s">
        <v>34</v>
      </c>
      <c r="B99">
        <f t="shared" si="7"/>
        <v>0.83333333333333337</v>
      </c>
    </row>
    <row r="100" spans="1:2" x14ac:dyDescent="0.25">
      <c r="A100" t="s">
        <v>35</v>
      </c>
      <c r="B100">
        <f t="shared" si="7"/>
        <v>0.75</v>
      </c>
    </row>
    <row r="101" spans="1:2" x14ac:dyDescent="0.25">
      <c r="A101" t="s">
        <v>36</v>
      </c>
      <c r="B101">
        <f t="shared" si="7"/>
        <v>0.90909090909090906</v>
      </c>
    </row>
    <row r="102" spans="1:2" x14ac:dyDescent="0.25">
      <c r="A102" t="s">
        <v>37</v>
      </c>
      <c r="B102" t="str">
        <f t="shared" si="7"/>
        <v/>
      </c>
    </row>
    <row r="103" spans="1:2" x14ac:dyDescent="0.25">
      <c r="A103" t="s">
        <v>38</v>
      </c>
      <c r="B103">
        <f t="shared" si="7"/>
        <v>0.96</v>
      </c>
    </row>
    <row r="104" spans="1:2" x14ac:dyDescent="0.25">
      <c r="A104" t="s">
        <v>39</v>
      </c>
      <c r="B104">
        <f t="shared" si="7"/>
        <v>0.77777777777777779</v>
      </c>
    </row>
    <row r="105" spans="1:2" x14ac:dyDescent="0.25">
      <c r="A105" t="s">
        <v>40</v>
      </c>
      <c r="B105">
        <f t="shared" si="7"/>
        <v>0.52631578947368418</v>
      </c>
    </row>
    <row r="106" spans="1:2" x14ac:dyDescent="0.25">
      <c r="A106" t="s">
        <v>41</v>
      </c>
      <c r="B106" t="str">
        <f t="shared" si="7"/>
        <v/>
      </c>
    </row>
    <row r="107" spans="1:2" x14ac:dyDescent="0.25">
      <c r="A107" t="s">
        <v>42</v>
      </c>
      <c r="B107" t="str">
        <f t="shared" si="7"/>
        <v/>
      </c>
    </row>
    <row r="108" spans="1:2" x14ac:dyDescent="0.25">
      <c r="A108" t="s">
        <v>43</v>
      </c>
      <c r="B108" t="str">
        <f t="shared" si="7"/>
        <v/>
      </c>
    </row>
    <row r="109" spans="1:2" x14ac:dyDescent="0.25">
      <c r="A109" t="s">
        <v>44</v>
      </c>
      <c r="B109" t="str">
        <f t="shared" si="7"/>
        <v/>
      </c>
    </row>
    <row r="110" spans="1:2" x14ac:dyDescent="0.25">
      <c r="A110" t="s">
        <v>45</v>
      </c>
      <c r="B110" t="str">
        <f t="shared" si="7"/>
        <v/>
      </c>
    </row>
    <row r="111" spans="1:2" x14ac:dyDescent="0.25">
      <c r="A111" t="s">
        <v>46</v>
      </c>
      <c r="B111" t="str">
        <f t="shared" si="7"/>
        <v/>
      </c>
    </row>
    <row r="112" spans="1:2" x14ac:dyDescent="0.25">
      <c r="A112" t="s">
        <v>47</v>
      </c>
      <c r="B112" t="str">
        <f t="shared" si="7"/>
        <v/>
      </c>
    </row>
    <row r="113" spans="1:2" x14ac:dyDescent="0.25">
      <c r="A113" t="s">
        <v>48</v>
      </c>
      <c r="B113" t="str">
        <f t="shared" si="7"/>
        <v/>
      </c>
    </row>
    <row r="132" spans="1:2" x14ac:dyDescent="0.25">
      <c r="A132" s="9" t="s">
        <v>91</v>
      </c>
      <c r="B132" s="9" t="s">
        <v>5</v>
      </c>
    </row>
    <row r="133" spans="1:2" x14ac:dyDescent="0.25">
      <c r="A133" t="s">
        <v>50</v>
      </c>
      <c r="B133" t="str">
        <f t="shared" ref="B133:B138" si="8">IF(AND(C26&lt;&gt;"",D26&lt;&gt;""),D26/C26,"")</f>
        <v/>
      </c>
    </row>
    <row r="134" spans="1:2" x14ac:dyDescent="0.25">
      <c r="A134" t="s">
        <v>51</v>
      </c>
      <c r="B134" t="str">
        <f t="shared" si="8"/>
        <v/>
      </c>
    </row>
    <row r="135" spans="1:2" x14ac:dyDescent="0.25">
      <c r="A135" t="s">
        <v>52</v>
      </c>
      <c r="B135" t="str">
        <f t="shared" si="8"/>
        <v/>
      </c>
    </row>
    <row r="136" spans="1:2" x14ac:dyDescent="0.25">
      <c r="A136" t="s">
        <v>53</v>
      </c>
      <c r="B136" t="str">
        <f t="shared" si="8"/>
        <v/>
      </c>
    </row>
    <row r="137" spans="1:2" x14ac:dyDescent="0.25">
      <c r="A137" t="s">
        <v>54</v>
      </c>
      <c r="B137" t="str">
        <f t="shared" si="8"/>
        <v/>
      </c>
    </row>
    <row r="138" spans="1:2" x14ac:dyDescent="0.25">
      <c r="A138" t="s">
        <v>55</v>
      </c>
      <c r="B138" t="str">
        <f t="shared" si="8"/>
        <v/>
      </c>
    </row>
    <row r="157" spans="1:2" x14ac:dyDescent="0.25">
      <c r="A157" s="9" t="s">
        <v>92</v>
      </c>
      <c r="B157" s="9" t="s">
        <v>5</v>
      </c>
    </row>
    <row r="158" spans="1:2" x14ac:dyDescent="0.25">
      <c r="A158" t="s">
        <v>57</v>
      </c>
      <c r="B158" t="str">
        <f t="shared" ref="B158:B163" si="9">IF(AND(C33&lt;&gt;"",D33&lt;&gt;""),D33/C33,"")</f>
        <v/>
      </c>
    </row>
    <row r="159" spans="1:2" x14ac:dyDescent="0.25">
      <c r="A159" t="s">
        <v>58</v>
      </c>
      <c r="B159" t="str">
        <f t="shared" si="9"/>
        <v/>
      </c>
    </row>
    <row r="160" spans="1:2" x14ac:dyDescent="0.25">
      <c r="A160" t="s">
        <v>59</v>
      </c>
      <c r="B160" t="str">
        <f t="shared" si="9"/>
        <v/>
      </c>
    </row>
    <row r="161" spans="1:2" x14ac:dyDescent="0.25">
      <c r="A161" t="s">
        <v>60</v>
      </c>
      <c r="B161" t="str">
        <f t="shared" si="9"/>
        <v/>
      </c>
    </row>
    <row r="162" spans="1:2" x14ac:dyDescent="0.25">
      <c r="A162" t="s">
        <v>61</v>
      </c>
      <c r="B162" t="str">
        <f t="shared" si="9"/>
        <v/>
      </c>
    </row>
    <row r="163" spans="1:2" x14ac:dyDescent="0.25">
      <c r="A163" t="s">
        <v>62</v>
      </c>
      <c r="B163" t="str">
        <f t="shared" si="9"/>
        <v/>
      </c>
    </row>
    <row r="181" spans="1:2" x14ac:dyDescent="0.25">
      <c r="A181" s="9"/>
      <c r="B181" s="9"/>
    </row>
    <row r="182" spans="1:2" x14ac:dyDescent="0.25">
      <c r="A182" s="9" t="s">
        <v>93</v>
      </c>
      <c r="B182" s="9" t="s">
        <v>5</v>
      </c>
    </row>
    <row r="183" spans="1:2" x14ac:dyDescent="0.25">
      <c r="A183" t="s">
        <v>31</v>
      </c>
      <c r="B183" t="str">
        <f t="shared" ref="B183:B200" si="10">IF(AND(C43&lt;&gt;"",D43&lt;&gt;""),D43/C43,"")</f>
        <v/>
      </c>
    </row>
    <row r="184" spans="1:2" x14ac:dyDescent="0.25">
      <c r="A184" t="s">
        <v>32</v>
      </c>
      <c r="B184" t="str">
        <f t="shared" si="10"/>
        <v/>
      </c>
    </row>
    <row r="185" spans="1:2" x14ac:dyDescent="0.25">
      <c r="A185" t="s">
        <v>33</v>
      </c>
      <c r="B185" t="str">
        <f t="shared" si="10"/>
        <v/>
      </c>
    </row>
    <row r="186" spans="1:2" x14ac:dyDescent="0.25">
      <c r="A186" t="s">
        <v>34</v>
      </c>
      <c r="B186" t="str">
        <f t="shared" si="10"/>
        <v/>
      </c>
    </row>
    <row r="187" spans="1:2" x14ac:dyDescent="0.25">
      <c r="A187" t="s">
        <v>35</v>
      </c>
      <c r="B187" t="str">
        <f t="shared" si="10"/>
        <v/>
      </c>
    </row>
    <row r="188" spans="1:2" x14ac:dyDescent="0.25">
      <c r="A188" t="s">
        <v>36</v>
      </c>
      <c r="B188" t="str">
        <f t="shared" si="10"/>
        <v/>
      </c>
    </row>
    <row r="189" spans="1:2" x14ac:dyDescent="0.25">
      <c r="A189" t="s">
        <v>37</v>
      </c>
      <c r="B189" t="str">
        <f t="shared" si="10"/>
        <v/>
      </c>
    </row>
    <row r="190" spans="1:2" x14ac:dyDescent="0.25">
      <c r="A190" t="s">
        <v>38</v>
      </c>
      <c r="B190" t="str">
        <f t="shared" si="10"/>
        <v/>
      </c>
    </row>
    <row r="191" spans="1:2" x14ac:dyDescent="0.25">
      <c r="A191" t="s">
        <v>39</v>
      </c>
      <c r="B191" t="str">
        <f t="shared" si="10"/>
        <v/>
      </c>
    </row>
    <row r="192" spans="1:2" x14ac:dyDescent="0.25">
      <c r="A192" t="s">
        <v>40</v>
      </c>
      <c r="B192" t="str">
        <f t="shared" si="10"/>
        <v/>
      </c>
    </row>
    <row r="193" spans="1:2" x14ac:dyDescent="0.25">
      <c r="A193" t="s">
        <v>41</v>
      </c>
      <c r="B193" t="str">
        <f t="shared" si="10"/>
        <v/>
      </c>
    </row>
    <row r="194" spans="1:2" x14ac:dyDescent="0.25">
      <c r="A194" t="s">
        <v>42</v>
      </c>
      <c r="B194" t="str">
        <f t="shared" si="10"/>
        <v/>
      </c>
    </row>
    <row r="195" spans="1:2" x14ac:dyDescent="0.25">
      <c r="A195" t="s">
        <v>43</v>
      </c>
      <c r="B195" t="str">
        <f t="shared" si="10"/>
        <v/>
      </c>
    </row>
    <row r="196" spans="1:2" x14ac:dyDescent="0.25">
      <c r="A196" t="s">
        <v>44</v>
      </c>
      <c r="B196" t="str">
        <f t="shared" si="10"/>
        <v/>
      </c>
    </row>
    <row r="197" spans="1:2" x14ac:dyDescent="0.25">
      <c r="A197" t="s">
        <v>45</v>
      </c>
      <c r="B197" t="str">
        <f t="shared" si="10"/>
        <v/>
      </c>
    </row>
    <row r="198" spans="1:2" x14ac:dyDescent="0.25">
      <c r="A198" t="s">
        <v>46</v>
      </c>
      <c r="B198" t="str">
        <f t="shared" si="10"/>
        <v/>
      </c>
    </row>
    <row r="199" spans="1:2" x14ac:dyDescent="0.25">
      <c r="A199" t="s">
        <v>47</v>
      </c>
      <c r="B199" t="str">
        <f t="shared" si="10"/>
        <v/>
      </c>
    </row>
    <row r="200" spans="1:2" x14ac:dyDescent="0.25">
      <c r="A200" t="s">
        <v>48</v>
      </c>
      <c r="B200" t="str">
        <f t="shared" si="10"/>
        <v/>
      </c>
    </row>
    <row r="217" spans="1:2" x14ac:dyDescent="0.25">
      <c r="A217" s="9"/>
      <c r="B217" s="9"/>
    </row>
    <row r="219" spans="1:2" x14ac:dyDescent="0.25">
      <c r="A219" s="9" t="s">
        <v>94</v>
      </c>
      <c r="B219" s="9" t="s">
        <v>5</v>
      </c>
    </row>
    <row r="220" spans="1:2" x14ac:dyDescent="0.25">
      <c r="A220" t="s">
        <v>50</v>
      </c>
      <c r="B220" t="str">
        <f t="shared" ref="B220:B228" si="11">IF(AND(C65&lt;&gt;"",D65&lt;&gt;""),D65/C65,"")</f>
        <v/>
      </c>
    </row>
    <row r="221" spans="1:2" x14ac:dyDescent="0.25">
      <c r="A221" t="s">
        <v>67</v>
      </c>
      <c r="B221" t="str">
        <f t="shared" si="11"/>
        <v/>
      </c>
    </row>
    <row r="222" spans="1:2" x14ac:dyDescent="0.25">
      <c r="A222" t="s">
        <v>68</v>
      </c>
      <c r="B222" t="str">
        <f t="shared" si="11"/>
        <v/>
      </c>
    </row>
    <row r="223" spans="1:2" x14ac:dyDescent="0.25">
      <c r="A223" t="s">
        <v>69</v>
      </c>
      <c r="B223" t="str">
        <f t="shared" si="11"/>
        <v/>
      </c>
    </row>
    <row r="224" spans="1:2" x14ac:dyDescent="0.25">
      <c r="A224" t="s">
        <v>70</v>
      </c>
      <c r="B224" t="str">
        <f t="shared" si="11"/>
        <v/>
      </c>
    </row>
    <row r="225" spans="1:2" x14ac:dyDescent="0.25">
      <c r="A225" t="s">
        <v>71</v>
      </c>
      <c r="B225" t="str">
        <f t="shared" si="11"/>
        <v/>
      </c>
    </row>
    <row r="226" spans="1:2" x14ac:dyDescent="0.25">
      <c r="A226" t="s">
        <v>72</v>
      </c>
      <c r="B226" t="str">
        <f t="shared" si="11"/>
        <v/>
      </c>
    </row>
    <row r="227" spans="1:2" x14ac:dyDescent="0.25">
      <c r="A227" t="s">
        <v>73</v>
      </c>
      <c r="B227" t="str">
        <f t="shared" si="11"/>
        <v/>
      </c>
    </row>
    <row r="228" spans="1:2" x14ac:dyDescent="0.25">
      <c r="A228" t="s">
        <v>74</v>
      </c>
      <c r="B228" t="str">
        <f t="shared" si="11"/>
        <v/>
      </c>
    </row>
    <row r="245" spans="1:2" x14ac:dyDescent="0.25">
      <c r="A245" s="9"/>
      <c r="B245" s="9"/>
    </row>
    <row r="247" spans="1:2" x14ac:dyDescent="0.25">
      <c r="A247" s="9" t="s">
        <v>95</v>
      </c>
      <c r="B247" s="9" t="s">
        <v>5</v>
      </c>
    </row>
    <row r="248" spans="1:2" x14ac:dyDescent="0.25">
      <c r="A248" t="s">
        <v>75</v>
      </c>
      <c r="B248" t="str">
        <f t="shared" ref="B248:B256" si="12">IF(AND(C75&lt;&gt;"",D75&lt;&gt;""),D75/C75,"")</f>
        <v/>
      </c>
    </row>
    <row r="249" spans="1:2" x14ac:dyDescent="0.25">
      <c r="A249" t="s">
        <v>58</v>
      </c>
      <c r="B249" t="str">
        <f t="shared" si="12"/>
        <v/>
      </c>
    </row>
    <row r="250" spans="1:2" x14ac:dyDescent="0.25">
      <c r="A250" t="s">
        <v>76</v>
      </c>
      <c r="B250" t="str">
        <f t="shared" si="12"/>
        <v/>
      </c>
    </row>
    <row r="251" spans="1:2" x14ac:dyDescent="0.25">
      <c r="A251" t="s">
        <v>77</v>
      </c>
      <c r="B251" t="str">
        <f t="shared" si="12"/>
        <v/>
      </c>
    </row>
    <row r="252" spans="1:2" x14ac:dyDescent="0.25">
      <c r="A252" t="s">
        <v>78</v>
      </c>
      <c r="B252" t="str">
        <f t="shared" si="12"/>
        <v/>
      </c>
    </row>
    <row r="253" spans="1:2" x14ac:dyDescent="0.25">
      <c r="A253" t="s">
        <v>79</v>
      </c>
      <c r="B253" t="str">
        <f t="shared" si="12"/>
        <v/>
      </c>
    </row>
    <row r="254" spans="1:2" x14ac:dyDescent="0.25">
      <c r="A254" t="s">
        <v>80</v>
      </c>
      <c r="B254" t="str">
        <f t="shared" si="12"/>
        <v/>
      </c>
    </row>
    <row r="255" spans="1:2" x14ac:dyDescent="0.25">
      <c r="A255" t="s">
        <v>81</v>
      </c>
      <c r="B255" t="str">
        <f t="shared" si="12"/>
        <v/>
      </c>
    </row>
    <row r="256" spans="1:2" x14ac:dyDescent="0.25">
      <c r="A256" t="s">
        <v>82</v>
      </c>
      <c r="B256" t="str">
        <f t="shared" si="12"/>
        <v/>
      </c>
    </row>
    <row r="272" spans="1:2" x14ac:dyDescent="0.25">
      <c r="A272" s="9" t="s">
        <v>96</v>
      </c>
      <c r="B272" s="9" t="s">
        <v>5</v>
      </c>
    </row>
    <row r="273" spans="1:2" x14ac:dyDescent="0.25">
      <c r="A273" t="s">
        <v>90</v>
      </c>
      <c r="B273" t="str">
        <f>IF(AND(C94&lt;&gt;"",D94&lt;&gt;""),D94/C94,"")</f>
        <v/>
      </c>
    </row>
    <row r="274" spans="1:2" x14ac:dyDescent="0.25">
      <c r="A274" t="s">
        <v>30</v>
      </c>
      <c r="B274" t="str">
        <f>IF(AND(C95&lt;&gt;"",D95&lt;&gt;""),D95/C95,"")</f>
        <v/>
      </c>
    </row>
    <row r="275" spans="1:2" x14ac:dyDescent="0.25">
      <c r="A275" s="9" t="s">
        <v>96</v>
      </c>
      <c r="B275" s="9" t="s">
        <v>5</v>
      </c>
    </row>
    <row r="276" spans="1:2" x14ac:dyDescent="0.25">
      <c r="A276" t="s">
        <v>84</v>
      </c>
      <c r="B276" t="str">
        <f>IF(AND(C85&lt;&gt;"",D85&lt;&gt;""),D85/C85,"")</f>
        <v/>
      </c>
    </row>
    <row r="277" spans="1:2" x14ac:dyDescent="0.25">
      <c r="A277" t="s">
        <v>85</v>
      </c>
      <c r="B277" t="str">
        <f>IF(AND(C86&lt;&gt;"",D86&lt;&gt;""),D86/C86,"")</f>
        <v/>
      </c>
    </row>
    <row r="278" spans="1:2" x14ac:dyDescent="0.25">
      <c r="A278" t="s">
        <v>86</v>
      </c>
      <c r="B278" t="str">
        <f>IF(AND(C87&lt;&gt;"",D87&lt;&gt;""),D87/C87,"")</f>
        <v/>
      </c>
    </row>
    <row r="279" spans="1:2" x14ac:dyDescent="0.25">
      <c r="A279" t="s">
        <v>87</v>
      </c>
      <c r="B279" t="str">
        <f>IF(AND(C88&lt;&gt;"",D88&lt;&gt;""),D88/C88,"")</f>
        <v/>
      </c>
    </row>
  </sheetData>
  <mergeCells count="5">
    <mergeCell ref="A63:E63"/>
    <mergeCell ref="A4:E4"/>
    <mergeCell ref="A41:E41"/>
    <mergeCell ref="A1:E1"/>
    <mergeCell ref="A84:E84"/>
  </mergeCells>
  <phoneticPr fontId="10" type="noConversion"/>
  <conditionalFormatting sqref="E6:E16">
    <cfRule type="cellIs" dxfId="215" priority="1" operator="greaterThanOrEqual">
      <formula>0.9</formula>
    </cfRule>
    <cfRule type="cellIs" dxfId="214" priority="2" operator="between">
      <formula>0.8</formula>
      <formula>0.9</formula>
    </cfRule>
    <cfRule type="cellIs" dxfId="213" priority="3" operator="lessThan">
      <formula>0.8</formula>
    </cfRule>
  </conditionalFormatting>
  <conditionalFormatting sqref="E17:E24">
    <cfRule type="cellIs" dxfId="212" priority="4" operator="greaterThanOrEqual">
      <formula>0.9</formula>
    </cfRule>
    <cfRule type="cellIs" dxfId="211" priority="5" operator="between">
      <formula>0.8</formula>
      <formula>0.9</formula>
    </cfRule>
    <cfRule type="cellIs" dxfId="210" priority="6" operator="lessThan">
      <formula>0.8</formula>
    </cfRule>
  </conditionalFormatting>
  <conditionalFormatting sqref="E26:E31">
    <cfRule type="cellIs" dxfId="209" priority="61" operator="greaterThanOrEqual">
      <formula>0.9</formula>
    </cfRule>
    <cfRule type="cellIs" dxfId="208" priority="62" operator="between">
      <formula>0.8</formula>
      <formula>0.9</formula>
    </cfRule>
    <cfRule type="cellIs" dxfId="207" priority="63" operator="lessThan">
      <formula>0.8</formula>
    </cfRule>
  </conditionalFormatting>
  <conditionalFormatting sqref="E34:E38">
    <cfRule type="cellIs" dxfId="206" priority="79" operator="greaterThanOrEqual">
      <formula>0.9</formula>
    </cfRule>
    <cfRule type="cellIs" dxfId="205" priority="80" operator="between">
      <formula>0.8</formula>
      <formula>0.9</formula>
    </cfRule>
    <cfRule type="cellIs" dxfId="204" priority="81" operator="lessThan">
      <formula>0.8</formula>
    </cfRule>
  </conditionalFormatting>
  <conditionalFormatting sqref="E40">
    <cfRule type="cellIs" dxfId="203" priority="211" operator="greaterThanOrEqual">
      <formula>0.9</formula>
    </cfRule>
    <cfRule type="cellIs" dxfId="202" priority="212" operator="between">
      <formula>0.8</formula>
      <formula>0.9</formula>
    </cfRule>
    <cfRule type="cellIs" dxfId="201" priority="213" operator="lessThan">
      <formula>0.8</formula>
    </cfRule>
  </conditionalFormatting>
  <conditionalFormatting sqref="E43:E60">
    <cfRule type="cellIs" dxfId="200" priority="94" operator="greaterThanOrEqual">
      <formula>0.9</formula>
    </cfRule>
    <cfRule type="cellIs" dxfId="199" priority="95" operator="between">
      <formula>0.8</formula>
      <formula>0.9</formula>
    </cfRule>
    <cfRule type="cellIs" dxfId="198" priority="96" operator="lessThan">
      <formula>0.8</formula>
    </cfRule>
  </conditionalFormatting>
  <conditionalFormatting sqref="E64:E73">
    <cfRule type="cellIs" dxfId="197" priority="148" operator="greaterThanOrEqual">
      <formula>0.9</formula>
    </cfRule>
    <cfRule type="cellIs" dxfId="196" priority="149" operator="between">
      <formula>0.8</formula>
      <formula>0.9</formula>
    </cfRule>
    <cfRule type="cellIs" dxfId="195" priority="150" operator="lessThan">
      <formula>0.8</formula>
    </cfRule>
  </conditionalFormatting>
  <conditionalFormatting sqref="E76:E83">
    <cfRule type="cellIs" dxfId="194" priority="175" operator="greaterThanOrEqual">
      <formula>0.9</formula>
    </cfRule>
    <cfRule type="cellIs" dxfId="193" priority="176" operator="between">
      <formula>0.8</formula>
      <formula>0.9</formula>
    </cfRule>
    <cfRule type="cellIs" dxfId="192" priority="177" operator="lessThan">
      <formula>0.8</formula>
    </cfRule>
  </conditionalFormatting>
  <conditionalFormatting sqref="E85:E88">
    <cfRule type="cellIs" dxfId="191" priority="199" operator="greaterThanOrEqual">
      <formula>0.9</formula>
    </cfRule>
    <cfRule type="cellIs" dxfId="190" priority="200" operator="between">
      <formula>0.8</formula>
      <formula>0.9</formula>
    </cfRule>
    <cfRule type="cellIs" dxfId="189" priority="201" operator="lessThan">
      <formula>0.8</formula>
    </cfRule>
  </conditionalFormatting>
  <conditionalFormatting sqref="E91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conditionalFormatting sqref="E94">
    <cfRule type="cellIs" dxfId="185" priority="217" operator="greaterThanOrEqual">
      <formula>0.9</formula>
    </cfRule>
    <cfRule type="cellIs" dxfId="184" priority="218" operator="between">
      <formula>0.8</formula>
      <formula>0.9</formula>
    </cfRule>
    <cfRule type="cellIs" dxfId="183" priority="219" operator="lessThan">
      <formula>0.8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51"/>
  <sheetViews>
    <sheetView tabSelected="1" workbookViewId="0">
      <selection activeCell="E41" sqref="E4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20" t="s">
        <v>97</v>
      </c>
      <c r="B1" s="21"/>
      <c r="C1" s="21"/>
      <c r="D1" s="21"/>
      <c r="E1" s="21"/>
      <c r="F1" s="21"/>
      <c r="G1" s="21"/>
      <c r="H1" s="21"/>
      <c r="I1" s="21"/>
    </row>
    <row r="3" spans="1:9" x14ac:dyDescent="0.25">
      <c r="A3" s="22" t="s">
        <v>98</v>
      </c>
      <c r="B3" s="18"/>
      <c r="C3" s="18"/>
      <c r="D3" s="18"/>
      <c r="E3" s="19"/>
      <c r="F3" s="13"/>
      <c r="G3" s="17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103</v>
      </c>
      <c r="B5" s="13"/>
      <c r="C5" s="13"/>
      <c r="D5" s="13"/>
      <c r="E5" s="13"/>
      <c r="F5" s="13"/>
      <c r="G5" s="13"/>
      <c r="H5" s="13"/>
      <c r="I5" s="13"/>
    </row>
    <row r="6" spans="1:9" ht="15" x14ac:dyDescent="0.25">
      <c r="A6" s="11" t="s">
        <v>104</v>
      </c>
      <c r="B6" s="15">
        <v>530</v>
      </c>
      <c r="C6" s="15">
        <v>11</v>
      </c>
      <c r="D6" s="15">
        <v>10</v>
      </c>
      <c r="E6" s="16">
        <f t="shared" ref="E6:E11" si="0">IF(AND(C6&lt;&gt;"",D6&lt;&gt;""),D6/C6,"")</f>
        <v>0.90909090909090906</v>
      </c>
      <c r="F6" s="13"/>
      <c r="G6" s="3"/>
      <c r="H6" s="3"/>
      <c r="I6" s="3" t="str">
        <f t="shared" ref="I6:I11" si="1">IF(AND(G6&lt;&gt;"",H6&lt;&gt;""),H6/G6,"")</f>
        <v/>
      </c>
    </row>
    <row r="7" spans="1:9" ht="15" x14ac:dyDescent="0.25">
      <c r="A7" s="11" t="s">
        <v>105</v>
      </c>
      <c r="B7" s="15">
        <v>530</v>
      </c>
      <c r="C7" s="15">
        <v>20</v>
      </c>
      <c r="D7" s="15">
        <v>14</v>
      </c>
      <c r="E7" s="16">
        <f t="shared" si="0"/>
        <v>0.7</v>
      </c>
      <c r="F7" s="13"/>
      <c r="G7" s="3"/>
      <c r="H7" s="3"/>
      <c r="I7" s="3" t="str">
        <f t="shared" si="1"/>
        <v/>
      </c>
    </row>
    <row r="8" spans="1:9" ht="15" x14ac:dyDescent="0.25">
      <c r="A8" s="11" t="s">
        <v>106</v>
      </c>
      <c r="B8" s="15">
        <v>530</v>
      </c>
      <c r="C8" s="15">
        <v>33</v>
      </c>
      <c r="D8" s="15">
        <v>25</v>
      </c>
      <c r="E8" s="16">
        <f t="shared" si="0"/>
        <v>0.75757575757575757</v>
      </c>
      <c r="F8" s="13"/>
      <c r="G8" s="3"/>
      <c r="H8" s="3"/>
      <c r="I8" s="3" t="str">
        <f t="shared" si="1"/>
        <v/>
      </c>
    </row>
    <row r="9" spans="1:9" ht="15" x14ac:dyDescent="0.25">
      <c r="A9" s="11" t="s">
        <v>107</v>
      </c>
      <c r="B9" s="15">
        <v>531</v>
      </c>
      <c r="C9" s="15">
        <v>22</v>
      </c>
      <c r="D9" s="15">
        <v>14</v>
      </c>
      <c r="E9" s="16">
        <f t="shared" si="0"/>
        <v>0.63636363636363635</v>
      </c>
      <c r="F9" s="13"/>
      <c r="G9" s="3"/>
      <c r="H9" s="3"/>
      <c r="I9" s="3" t="str">
        <f t="shared" si="1"/>
        <v/>
      </c>
    </row>
    <row r="10" spans="1:9" ht="15" x14ac:dyDescent="0.25">
      <c r="A10" s="11" t="s">
        <v>108</v>
      </c>
      <c r="B10" s="15">
        <v>531</v>
      </c>
      <c r="C10" s="15">
        <v>22</v>
      </c>
      <c r="D10" s="15">
        <v>14</v>
      </c>
      <c r="E10" s="16">
        <f t="shared" si="0"/>
        <v>0.63636363636363635</v>
      </c>
      <c r="F10" s="13"/>
      <c r="G10" s="3"/>
      <c r="H10" s="3"/>
      <c r="I10" s="3" t="str">
        <f t="shared" si="1"/>
        <v/>
      </c>
    </row>
    <row r="11" spans="1:9" ht="15" x14ac:dyDescent="0.25">
      <c r="A11" s="11" t="s">
        <v>109</v>
      </c>
      <c r="B11" s="15">
        <v>531</v>
      </c>
      <c r="C11" s="15">
        <v>22</v>
      </c>
      <c r="D11" s="15">
        <v>14</v>
      </c>
      <c r="E11" s="16">
        <f t="shared" si="0"/>
        <v>0.63636363636363635</v>
      </c>
      <c r="F11" s="13"/>
      <c r="G11" s="3"/>
      <c r="H11" s="3"/>
      <c r="I11" s="3" t="str">
        <f t="shared" si="1"/>
        <v/>
      </c>
    </row>
    <row r="12" spans="1:9" x14ac:dyDescent="0.25">
      <c r="A12" s="14" t="s">
        <v>110</v>
      </c>
      <c r="B12" s="13"/>
      <c r="C12" s="13"/>
      <c r="D12" s="13"/>
      <c r="E12" s="13"/>
      <c r="F12" s="13"/>
      <c r="G12" s="13"/>
      <c r="H12" s="13"/>
      <c r="I12" s="13"/>
    </row>
    <row r="13" spans="1:9" ht="15" x14ac:dyDescent="0.25">
      <c r="A13" s="11" t="s">
        <v>111</v>
      </c>
      <c r="B13" s="15">
        <v>601</v>
      </c>
      <c r="C13" s="15">
        <v>73</v>
      </c>
      <c r="D13" s="15">
        <v>53</v>
      </c>
      <c r="E13" s="16">
        <f>IF(AND(C13&lt;&gt;"",D13&lt;&gt;""),D13/C13,"")</f>
        <v>0.72602739726027399</v>
      </c>
      <c r="F13" s="13"/>
      <c r="G13" s="3"/>
      <c r="H13" s="3"/>
      <c r="I13" s="3" t="str">
        <f>IF(AND(G13&lt;&gt;"",H13&lt;&gt;""),H13/G13,"")</f>
        <v/>
      </c>
    </row>
    <row r="14" spans="1:9" ht="15" x14ac:dyDescent="0.25">
      <c r="A14" s="11" t="s">
        <v>112</v>
      </c>
      <c r="B14" s="15">
        <v>602</v>
      </c>
      <c r="C14" s="15">
        <v>57</v>
      </c>
      <c r="D14" s="15">
        <v>46</v>
      </c>
      <c r="E14" s="16">
        <f>IF(AND(C14&lt;&gt;"",D14&lt;&gt;""),D14/C14,"")</f>
        <v>0.80701754385964908</v>
      </c>
      <c r="F14" s="13"/>
      <c r="G14" s="3"/>
      <c r="H14" s="3"/>
      <c r="I14" s="3" t="str">
        <f>IF(AND(G14&lt;&gt;"",H14&lt;&gt;""),H14/G14,"")</f>
        <v/>
      </c>
    </row>
    <row r="15" spans="1:9" ht="15" x14ac:dyDescent="0.25">
      <c r="A15" s="11" t="s">
        <v>113</v>
      </c>
      <c r="B15" s="15">
        <v>606</v>
      </c>
      <c r="C15" s="15">
        <v>56</v>
      </c>
      <c r="D15" s="15">
        <v>46</v>
      </c>
      <c r="E15" s="16">
        <f>IF(AND(C15&lt;&gt;"",D15&lt;&gt;""),D15/C15,"")</f>
        <v>0.8214285714285714</v>
      </c>
      <c r="F15" s="13"/>
      <c r="G15" s="3"/>
      <c r="H15" s="3"/>
      <c r="I15" s="3" t="str">
        <f>IF(AND(G15&lt;&gt;"",H15&lt;&gt;""),H15/G15,"")</f>
        <v/>
      </c>
    </row>
    <row r="16" spans="1:9" ht="15" x14ac:dyDescent="0.25">
      <c r="A16" s="11" t="s">
        <v>114</v>
      </c>
      <c r="B16" s="15">
        <v>607</v>
      </c>
      <c r="C16" s="15">
        <v>45</v>
      </c>
      <c r="D16" s="15">
        <v>38</v>
      </c>
      <c r="E16" s="16">
        <f>IF(AND(C16&lt;&gt;"",D16&lt;&gt;""),D16/C16,"")</f>
        <v>0.84444444444444444</v>
      </c>
      <c r="F16" s="13"/>
      <c r="G16" s="3"/>
      <c r="H16" s="3"/>
      <c r="I16" s="3" t="str">
        <f>IF(AND(G16&lt;&gt;"",H16&lt;&gt;""),H16/G16,"")</f>
        <v/>
      </c>
    </row>
    <row r="17" spans="1:9" x14ac:dyDescent="0.25">
      <c r="A17" s="14" t="s">
        <v>115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11" t="s">
        <v>116</v>
      </c>
      <c r="B18" s="3"/>
      <c r="C18" s="3"/>
      <c r="D18" s="3"/>
      <c r="E18" s="3" t="str">
        <f>IF(AND(C18&lt;&gt;"",D18&lt;&gt;""),D18/C18,"")</f>
        <v/>
      </c>
      <c r="F18" s="13"/>
      <c r="G18" s="3"/>
      <c r="H18" s="3"/>
      <c r="I18" s="3" t="str">
        <f>IF(AND(G18&lt;&gt;"",H18&lt;&gt;""),H18/G18,"")</f>
        <v/>
      </c>
    </row>
    <row r="19" spans="1:9" x14ac:dyDescent="0.25">
      <c r="A19" s="11" t="s">
        <v>117</v>
      </c>
      <c r="B19" s="3"/>
      <c r="C19" s="3"/>
      <c r="D19" s="3"/>
      <c r="E19" s="3" t="str">
        <f>IF(AND(C19&lt;&gt;"",D19&lt;&gt;""),D19/C19,"")</f>
        <v/>
      </c>
      <c r="F19" s="13"/>
      <c r="G19" s="3"/>
      <c r="H19" s="3"/>
      <c r="I19" s="3" t="str">
        <f>IF(AND(G19&lt;&gt;"",H19&lt;&gt;""),H19/G19,"")</f>
        <v/>
      </c>
    </row>
    <row r="20" spans="1:9" x14ac:dyDescent="0.25">
      <c r="A20" s="14" t="s">
        <v>118</v>
      </c>
      <c r="B20" s="13"/>
      <c r="C20" s="13"/>
      <c r="D20" s="13"/>
      <c r="E20" s="13"/>
      <c r="F20" s="13"/>
      <c r="G20" s="13"/>
      <c r="H20" s="13"/>
      <c r="I20" s="13"/>
    </row>
    <row r="21" spans="1:9" x14ac:dyDescent="0.25">
      <c r="A21" s="11" t="s">
        <v>119</v>
      </c>
      <c r="B21" s="3"/>
      <c r="C21" s="3"/>
      <c r="D21" s="3"/>
      <c r="E21" s="3" t="str">
        <f>IF(AND(C21&lt;&gt;"",D21&lt;&gt;""),D21/C21,"")</f>
        <v/>
      </c>
      <c r="F21" s="13"/>
      <c r="G21" s="3"/>
      <c r="H21" s="3"/>
      <c r="I21" s="3" t="str">
        <f>IF(AND(G21&lt;&gt;"",H21&lt;&gt;""),H21/G21,"")</f>
        <v/>
      </c>
    </row>
    <row r="22" spans="1:9" x14ac:dyDescent="0.25">
      <c r="A22" s="11" t="s">
        <v>120</v>
      </c>
      <c r="B22" s="3"/>
      <c r="C22" s="3"/>
      <c r="D22" s="3"/>
      <c r="E22" s="3" t="str">
        <f>IF(AND(C22&lt;&gt;"",D22&lt;&gt;""),D22/C22,"")</f>
        <v/>
      </c>
      <c r="F22" s="13"/>
      <c r="G22" s="3"/>
      <c r="H22" s="3"/>
      <c r="I22" s="3" t="str">
        <f>IF(AND(G22&lt;&gt;"",H22&lt;&gt;""),H22/G22,"")</f>
        <v/>
      </c>
    </row>
    <row r="23" spans="1:9" x14ac:dyDescent="0.25">
      <c r="A23" s="11" t="s">
        <v>121</v>
      </c>
      <c r="B23" s="3"/>
      <c r="C23" s="3"/>
      <c r="D23" s="3"/>
      <c r="E23" s="3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x14ac:dyDescent="0.25">
      <c r="A24" s="14" t="s">
        <v>122</v>
      </c>
      <c r="B24" s="13"/>
      <c r="C24" s="13"/>
      <c r="D24" s="13"/>
      <c r="E24" s="13"/>
      <c r="F24" s="13"/>
      <c r="G24" s="13"/>
      <c r="H24" s="13"/>
      <c r="I24" s="13"/>
    </row>
    <row r="25" spans="1:9" x14ac:dyDescent="0.25">
      <c r="A25" s="11" t="s">
        <v>123</v>
      </c>
      <c r="B25" s="3"/>
      <c r="C25" s="3"/>
      <c r="D25" s="3"/>
      <c r="E25" s="3" t="str">
        <f>IF(AND(C25&lt;&gt;"",D25&lt;&gt;""),D25/C25,"")</f>
        <v/>
      </c>
      <c r="F25" s="13"/>
      <c r="G25" s="3"/>
      <c r="H25" s="3"/>
      <c r="I25" s="3" t="str">
        <f>IF(AND(G25&lt;&gt;"",H25&lt;&gt;""),H25/G25,"")</f>
        <v/>
      </c>
    </row>
    <row r="26" spans="1:9" x14ac:dyDescent="0.25">
      <c r="A26" s="11" t="s">
        <v>124</v>
      </c>
      <c r="B26" s="3"/>
      <c r="C26" s="3"/>
      <c r="D26" s="3"/>
      <c r="E26" s="3" t="str">
        <f>IF(AND(C26&lt;&gt;"",D26&lt;&gt;""),D26/C26,"")</f>
        <v/>
      </c>
      <c r="F26" s="13"/>
      <c r="G26" s="3"/>
      <c r="H26" s="3"/>
      <c r="I26" s="3" t="str">
        <f>IF(AND(G26&lt;&gt;"",H26&lt;&gt;""),H26/G26,"")</f>
        <v/>
      </c>
    </row>
    <row r="27" spans="1:9" x14ac:dyDescent="0.25">
      <c r="A27" s="11" t="s">
        <v>125</v>
      </c>
      <c r="B27" s="3"/>
      <c r="C27" s="3"/>
      <c r="D27" s="3"/>
      <c r="E27" s="3" t="str">
        <f>IF(AND(C27&lt;&gt;"",D27&lt;&gt;""),D27/C27,"")</f>
        <v/>
      </c>
      <c r="F27" s="13"/>
      <c r="G27" s="3"/>
      <c r="H27" s="3"/>
      <c r="I27" s="3" t="str">
        <f>IF(AND(G27&lt;&gt;"",H27&lt;&gt;""),H27/G27,"")</f>
        <v/>
      </c>
    </row>
    <row r="28" spans="1:9" x14ac:dyDescent="0.25">
      <c r="A28" s="12" t="s">
        <v>126</v>
      </c>
      <c r="B28" s="12"/>
      <c r="C28" s="12">
        <f>SUM(C5:C27)</f>
        <v>361</v>
      </c>
      <c r="D28" s="12">
        <f>SUM(D5:D27)</f>
        <v>274</v>
      </c>
      <c r="E28" s="12">
        <f>IF(C28&gt;0, D28/C28,"")</f>
        <v>0.75900277008310246</v>
      </c>
      <c r="F28" s="12"/>
      <c r="G28" s="12">
        <f>SUM(G5:G27)</f>
        <v>0</v>
      </c>
      <c r="H28" s="12">
        <f>SUM(H5:H27)</f>
        <v>0</v>
      </c>
      <c r="I28" s="12" t="str">
        <f>IF(G28&gt;0, H28/G28,"")</f>
        <v/>
      </c>
    </row>
    <row r="30" spans="1:9" x14ac:dyDescent="0.25">
      <c r="A30" s="8" t="s">
        <v>127</v>
      </c>
      <c r="B30" s="8"/>
      <c r="C30" s="8">
        <f>C28+G28</f>
        <v>361</v>
      </c>
      <c r="D30" s="8">
        <f>D28+H28</f>
        <v>274</v>
      </c>
      <c r="E30" s="8">
        <f>IF(C30&gt;0, D30/C30,"")</f>
        <v>0.75900277008310246</v>
      </c>
      <c r="F30" s="8"/>
      <c r="G30" s="8"/>
      <c r="H30" s="8"/>
      <c r="I30" s="8"/>
    </row>
    <row r="33" spans="1:3" x14ac:dyDescent="0.25">
      <c r="A33" s="9" t="s">
        <v>100</v>
      </c>
      <c r="B33" s="9" t="s">
        <v>128</v>
      </c>
      <c r="C33" s="9" t="s">
        <v>129</v>
      </c>
    </row>
    <row r="34" spans="1:3" x14ac:dyDescent="0.25">
      <c r="A34" t="s">
        <v>104</v>
      </c>
      <c r="B34">
        <f t="shared" ref="B34:B39" si="2">E6</f>
        <v>0.90909090909090906</v>
      </c>
      <c r="C34" t="str">
        <f t="shared" ref="C34:C39" si="3">I6</f>
        <v/>
      </c>
    </row>
    <row r="35" spans="1:3" x14ac:dyDescent="0.25">
      <c r="A35" t="s">
        <v>105</v>
      </c>
      <c r="B35">
        <f t="shared" si="2"/>
        <v>0.7</v>
      </c>
      <c r="C35" t="str">
        <f t="shared" si="3"/>
        <v/>
      </c>
    </row>
    <row r="36" spans="1:3" x14ac:dyDescent="0.25">
      <c r="A36" t="s">
        <v>106</v>
      </c>
      <c r="B36">
        <f t="shared" si="2"/>
        <v>0.75757575757575757</v>
      </c>
      <c r="C36" t="str">
        <f t="shared" si="3"/>
        <v/>
      </c>
    </row>
    <row r="37" spans="1:3" x14ac:dyDescent="0.25">
      <c r="A37" t="s">
        <v>107</v>
      </c>
      <c r="B37">
        <f t="shared" si="2"/>
        <v>0.63636363636363635</v>
      </c>
      <c r="C37" t="str">
        <f t="shared" si="3"/>
        <v/>
      </c>
    </row>
    <row r="38" spans="1:3" x14ac:dyDescent="0.25">
      <c r="A38" t="s">
        <v>108</v>
      </c>
      <c r="B38">
        <f t="shared" si="2"/>
        <v>0.63636363636363635</v>
      </c>
      <c r="C38" t="str">
        <f t="shared" si="3"/>
        <v/>
      </c>
    </row>
    <row r="39" spans="1:3" x14ac:dyDescent="0.25">
      <c r="A39" t="s">
        <v>109</v>
      </c>
      <c r="B39">
        <f t="shared" si="2"/>
        <v>0.63636363636363635</v>
      </c>
      <c r="C39" t="str">
        <f t="shared" si="3"/>
        <v/>
      </c>
    </row>
    <row r="40" spans="1:3" x14ac:dyDescent="0.25">
      <c r="A40" t="s">
        <v>111</v>
      </c>
      <c r="B40">
        <f>E13</f>
        <v>0.72602739726027399</v>
      </c>
      <c r="C40" t="str">
        <f>I13</f>
        <v/>
      </c>
    </row>
    <row r="41" spans="1:3" x14ac:dyDescent="0.25">
      <c r="A41" t="s">
        <v>112</v>
      </c>
      <c r="B41">
        <f>E14</f>
        <v>0.80701754385964908</v>
      </c>
      <c r="C41" t="str">
        <f>I14</f>
        <v/>
      </c>
    </row>
    <row r="42" spans="1:3" x14ac:dyDescent="0.25">
      <c r="A42" t="s">
        <v>113</v>
      </c>
      <c r="B42">
        <f>E15</f>
        <v>0.8214285714285714</v>
      </c>
      <c r="C42" t="str">
        <f>I15</f>
        <v/>
      </c>
    </row>
    <row r="43" spans="1:3" x14ac:dyDescent="0.25">
      <c r="A43" t="s">
        <v>114</v>
      </c>
      <c r="B43">
        <f>E16</f>
        <v>0.84444444444444444</v>
      </c>
      <c r="C43" t="str">
        <f>I16</f>
        <v/>
      </c>
    </row>
    <row r="44" spans="1:3" x14ac:dyDescent="0.25">
      <c r="A44" t="s">
        <v>116</v>
      </c>
      <c r="B44" t="str">
        <f>E18</f>
        <v/>
      </c>
      <c r="C44" t="str">
        <f>I18</f>
        <v/>
      </c>
    </row>
    <row r="45" spans="1:3" x14ac:dyDescent="0.25">
      <c r="A45" t="s">
        <v>117</v>
      </c>
      <c r="B45" t="str">
        <f>E19</f>
        <v/>
      </c>
      <c r="C45" t="str">
        <f>I19</f>
        <v/>
      </c>
    </row>
    <row r="46" spans="1:3" x14ac:dyDescent="0.25">
      <c r="A46" t="s">
        <v>119</v>
      </c>
      <c r="B46" t="str">
        <f>E21</f>
        <v/>
      </c>
      <c r="C46" t="str">
        <f>I21</f>
        <v/>
      </c>
    </row>
    <row r="47" spans="1:3" x14ac:dyDescent="0.25">
      <c r="A47" t="s">
        <v>120</v>
      </c>
      <c r="B47" t="str">
        <f>E22</f>
        <v/>
      </c>
      <c r="C47" t="str">
        <f>I22</f>
        <v/>
      </c>
    </row>
    <row r="48" spans="1:3" x14ac:dyDescent="0.25">
      <c r="A48" t="s">
        <v>121</v>
      </c>
      <c r="B48" t="str">
        <f>E23</f>
        <v/>
      </c>
      <c r="C48" t="str">
        <f>I23</f>
        <v/>
      </c>
    </row>
    <row r="49" spans="1:3" x14ac:dyDescent="0.25">
      <c r="A49" t="s">
        <v>123</v>
      </c>
      <c r="B49" t="str">
        <f>E25</f>
        <v/>
      </c>
      <c r="C49" t="str">
        <f>I25</f>
        <v/>
      </c>
    </row>
    <row r="50" spans="1:3" x14ac:dyDescent="0.25">
      <c r="A50" t="s">
        <v>124</v>
      </c>
      <c r="B50" t="str">
        <f>E26</f>
        <v/>
      </c>
      <c r="C50" t="str">
        <f>I26</f>
        <v/>
      </c>
    </row>
    <row r="51" spans="1:3" x14ac:dyDescent="0.25">
      <c r="A51" t="s">
        <v>125</v>
      </c>
      <c r="B51" t="str">
        <f>E27</f>
        <v/>
      </c>
      <c r="C51" t="str">
        <f>I27</f>
        <v/>
      </c>
    </row>
  </sheetData>
  <mergeCells count="3">
    <mergeCell ref="G3:I3"/>
    <mergeCell ref="A1:I1"/>
    <mergeCell ref="A3:E3"/>
  </mergeCells>
  <phoneticPr fontId="10" type="noConversion"/>
  <conditionalFormatting sqref="E6:E11">
    <cfRule type="cellIs" dxfId="182" priority="4" operator="greaterThanOrEqual">
      <formula>0.9</formula>
    </cfRule>
    <cfRule type="cellIs" dxfId="181" priority="5" operator="between">
      <formula>0.8</formula>
      <formula>0.9</formula>
    </cfRule>
    <cfRule type="cellIs" dxfId="180" priority="6" operator="lessThan">
      <formula>0.8</formula>
    </cfRule>
  </conditionalFormatting>
  <conditionalFormatting sqref="E13:E16">
    <cfRule type="cellIs" dxfId="179" priority="1" operator="greaterThanOrEqual">
      <formula>0.9</formula>
    </cfRule>
    <cfRule type="cellIs" dxfId="178" priority="2" operator="between">
      <formula>0.8</formula>
      <formula>0.9</formula>
    </cfRule>
    <cfRule type="cellIs" dxfId="177" priority="3" operator="lessThan">
      <formula>0.8</formula>
    </cfRule>
  </conditionalFormatting>
  <conditionalFormatting sqref="E18:E19">
    <cfRule type="cellIs" dxfId="176" priority="37" operator="greaterThanOrEqual">
      <formula>0.9</formula>
    </cfRule>
    <cfRule type="cellIs" dxfId="175" priority="38" operator="between">
      <formula>0.8</formula>
      <formula>0.9</formula>
    </cfRule>
    <cfRule type="cellIs" dxfId="174" priority="39" operator="lessThan">
      <formula>0.8</formula>
    </cfRule>
  </conditionalFormatting>
  <conditionalFormatting sqref="E21:E23">
    <cfRule type="cellIs" dxfId="173" priority="43" operator="greaterThanOrEqual">
      <formula>0.9</formula>
    </cfRule>
    <cfRule type="cellIs" dxfId="172" priority="44" operator="between">
      <formula>0.8</formula>
      <formula>0.9</formula>
    </cfRule>
    <cfRule type="cellIs" dxfId="171" priority="45" operator="lessThan">
      <formula>0.8</formula>
    </cfRule>
  </conditionalFormatting>
  <conditionalFormatting sqref="E25:E28">
    <cfRule type="cellIs" dxfId="170" priority="52" operator="greaterThanOrEqual">
      <formula>0.9</formula>
    </cfRule>
    <cfRule type="cellIs" dxfId="169" priority="53" operator="between">
      <formula>0.8</formula>
      <formula>0.9</formula>
    </cfRule>
    <cfRule type="cellIs" dxfId="168" priority="54" operator="lessThan">
      <formula>0.8</formula>
    </cfRule>
  </conditionalFormatting>
  <conditionalFormatting sqref="E30">
    <cfRule type="cellIs" dxfId="167" priority="64" operator="greaterThanOrEqual">
      <formula>0.9</formula>
    </cfRule>
    <cfRule type="cellIs" dxfId="166" priority="65" operator="between">
      <formula>0.8</formula>
      <formula>0.9</formula>
    </cfRule>
    <cfRule type="cellIs" dxfId="165" priority="66" operator="lessThan">
      <formula>0.8</formula>
    </cfRule>
  </conditionalFormatting>
  <conditionalFormatting sqref="I6:I11">
    <cfRule type="cellIs" dxfId="164" priority="67" operator="greaterThanOrEqual">
      <formula>0.9</formula>
    </cfRule>
    <cfRule type="cellIs" dxfId="163" priority="68" operator="between">
      <formula>0.8</formula>
      <formula>0.9</formula>
    </cfRule>
    <cfRule type="cellIs" dxfId="162" priority="69" operator="lessThan">
      <formula>0.8</formula>
    </cfRule>
  </conditionalFormatting>
  <conditionalFormatting sqref="I13:I16">
    <cfRule type="cellIs" dxfId="161" priority="85" operator="greaterThanOrEqual">
      <formula>0.9</formula>
    </cfRule>
    <cfRule type="cellIs" dxfId="160" priority="86" operator="between">
      <formula>0.8</formula>
      <formula>0.9</formula>
    </cfRule>
    <cfRule type="cellIs" dxfId="159" priority="87" operator="lessThan">
      <formula>0.8</formula>
    </cfRule>
  </conditionalFormatting>
  <conditionalFormatting sqref="I18:I19">
    <cfRule type="cellIs" dxfId="158" priority="97" operator="greaterThanOrEqual">
      <formula>0.9</formula>
    </cfRule>
    <cfRule type="cellIs" dxfId="157" priority="98" operator="between">
      <formula>0.8</formula>
      <formula>0.9</formula>
    </cfRule>
    <cfRule type="cellIs" dxfId="156" priority="99" operator="lessThan">
      <formula>0.8</formula>
    </cfRule>
  </conditionalFormatting>
  <conditionalFormatting sqref="I21:I23">
    <cfRule type="cellIs" dxfId="155" priority="103" operator="greaterThanOrEqual">
      <formula>0.9</formula>
    </cfRule>
    <cfRule type="cellIs" dxfId="154" priority="104" operator="between">
      <formula>0.8</formula>
      <formula>0.9</formula>
    </cfRule>
    <cfRule type="cellIs" dxfId="153" priority="105" operator="lessThan">
      <formula>0.8</formula>
    </cfRule>
  </conditionalFormatting>
  <conditionalFormatting sqref="I25:I28">
    <cfRule type="cellIs" dxfId="152" priority="112" operator="greaterThanOrEqual">
      <formula>0.9</formula>
    </cfRule>
    <cfRule type="cellIs" dxfId="151" priority="113" operator="between">
      <formula>0.8</formula>
      <formula>0.9</formula>
    </cfRule>
    <cfRule type="cellIs" dxfId="150" priority="114" operator="lessThan">
      <formula>0.8</formula>
    </cfRule>
  </conditionalFormatting>
  <conditionalFormatting sqref="I30">
    <cfRule type="cellIs" dxfId="149" priority="124" operator="greaterThanOrEqual">
      <formula>0.9</formula>
    </cfRule>
    <cfRule type="cellIs" dxfId="148" priority="125" operator="between">
      <formula>0.8</formula>
      <formula>0.9</formula>
    </cfRule>
    <cfRule type="cellIs" dxfId="147" priority="126" operator="lessThan">
      <formula>0.8</formula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73"/>
  <sheetViews>
    <sheetView topLeftCell="A42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20" t="s">
        <v>130</v>
      </c>
      <c r="B1" s="21"/>
      <c r="C1" s="21"/>
      <c r="D1" s="21"/>
      <c r="E1" s="21"/>
      <c r="F1" s="21"/>
      <c r="G1" s="21"/>
      <c r="H1" s="21"/>
      <c r="I1" s="21"/>
    </row>
    <row r="3" spans="1:9" x14ac:dyDescent="0.25">
      <c r="A3" s="22" t="s">
        <v>98</v>
      </c>
      <c r="B3" s="18"/>
      <c r="C3" s="18"/>
      <c r="D3" s="18"/>
      <c r="E3" s="19"/>
      <c r="F3" s="13"/>
      <c r="G3" s="17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103</v>
      </c>
      <c r="B5" s="13"/>
      <c r="C5" s="13"/>
      <c r="D5" s="13"/>
      <c r="E5" s="13"/>
      <c r="F5" s="13"/>
      <c r="G5" s="13"/>
      <c r="H5" s="13"/>
      <c r="I5" s="13"/>
    </row>
    <row r="6" spans="1:9" ht="15" x14ac:dyDescent="0.25">
      <c r="A6" s="11" t="s">
        <v>131</v>
      </c>
      <c r="B6" s="15">
        <v>507</v>
      </c>
      <c r="C6" s="15">
        <v>1</v>
      </c>
      <c r="D6" s="15">
        <v>1</v>
      </c>
      <c r="E6" s="16">
        <f>IF(AND(C6&lt;&gt;"",D6&lt;&gt;""),D6/C6,"")</f>
        <v>1</v>
      </c>
      <c r="F6" s="13"/>
      <c r="G6" s="3"/>
      <c r="H6" s="3"/>
      <c r="I6" s="3" t="str">
        <f>IF(AND(G6&lt;&gt;"",H6&lt;&gt;""),H6/G6,"")</f>
        <v/>
      </c>
    </row>
    <row r="7" spans="1:9" ht="15" x14ac:dyDescent="0.25">
      <c r="A7" s="11" t="s">
        <v>132</v>
      </c>
      <c r="B7" s="15">
        <v>507</v>
      </c>
      <c r="C7" s="15">
        <v>14</v>
      </c>
      <c r="D7" s="15">
        <v>13</v>
      </c>
      <c r="E7" s="16">
        <f>IF(AND(C7&lt;&gt;"",D7&lt;&gt;""),D7/C7,"")</f>
        <v>0.9285714285714286</v>
      </c>
      <c r="F7" s="13"/>
      <c r="G7" s="3"/>
      <c r="H7" s="3"/>
      <c r="I7" s="3" t="str">
        <f>IF(AND(G7&lt;&gt;"",H7&lt;&gt;""),H7/G7,"")</f>
        <v/>
      </c>
    </row>
    <row r="8" spans="1:9" ht="15" x14ac:dyDescent="0.25">
      <c r="A8" s="11" t="s">
        <v>133</v>
      </c>
      <c r="B8" s="15">
        <v>508</v>
      </c>
      <c r="C8" s="15">
        <v>20</v>
      </c>
      <c r="D8" s="15">
        <v>12</v>
      </c>
      <c r="E8" s="16">
        <f>IF(AND(C8&lt;&gt;"",D8&lt;&gt;""),D8/C8,"")</f>
        <v>0.6</v>
      </c>
      <c r="F8" s="13"/>
      <c r="G8" s="3"/>
      <c r="H8" s="3"/>
      <c r="I8" s="3" t="str">
        <f>IF(AND(G8&lt;&gt;"",H8&lt;&gt;""),H8/G8,"")</f>
        <v/>
      </c>
    </row>
    <row r="9" spans="1:9" x14ac:dyDescent="0.25">
      <c r="A9" s="14" t="s">
        <v>134</v>
      </c>
      <c r="B9" s="13"/>
      <c r="C9" s="13"/>
      <c r="D9" s="13"/>
      <c r="E9" s="13"/>
      <c r="F9" s="13"/>
      <c r="G9" s="13"/>
      <c r="H9" s="13"/>
      <c r="I9" s="13"/>
    </row>
    <row r="10" spans="1:9" ht="15" x14ac:dyDescent="0.25">
      <c r="A10" s="11" t="s">
        <v>135</v>
      </c>
      <c r="B10" s="15">
        <v>509</v>
      </c>
      <c r="C10" s="15">
        <v>34</v>
      </c>
      <c r="D10" s="15">
        <v>25</v>
      </c>
      <c r="E10" s="16">
        <f>IF(AND(C10&lt;&gt;"",D10&lt;&gt;""),D10/C10,"")</f>
        <v>0.73529411764705888</v>
      </c>
      <c r="F10" s="13"/>
      <c r="G10" s="3"/>
      <c r="H10" s="3"/>
      <c r="I10" s="3" t="str">
        <f>IF(AND(G10&lt;&gt;"",H10&lt;&gt;""),H10/G10,"")</f>
        <v/>
      </c>
    </row>
    <row r="11" spans="1:9" ht="15" x14ac:dyDescent="0.25">
      <c r="A11" s="11" t="s">
        <v>136</v>
      </c>
      <c r="B11" s="15">
        <v>510</v>
      </c>
      <c r="C11" s="15">
        <v>35</v>
      </c>
      <c r="D11" s="15">
        <v>25</v>
      </c>
      <c r="E11" s="16">
        <f>IF(AND(C11&lt;&gt;"",D11&lt;&gt;""),D11/C11,"")</f>
        <v>0.7142857142857143</v>
      </c>
      <c r="F11" s="13"/>
      <c r="G11" s="3"/>
      <c r="H11" s="3"/>
      <c r="I11" s="3" t="str">
        <f>IF(AND(G11&lt;&gt;"",H11&lt;&gt;""),H11/G11,"")</f>
        <v/>
      </c>
    </row>
    <row r="12" spans="1:9" ht="15" x14ac:dyDescent="0.25">
      <c r="A12" s="11" t="s">
        <v>137</v>
      </c>
      <c r="B12" s="15">
        <v>512</v>
      </c>
      <c r="C12" s="15">
        <v>45</v>
      </c>
      <c r="D12" s="15">
        <v>37</v>
      </c>
      <c r="E12" s="16">
        <f>IF(AND(C12&lt;&gt;"",D12&lt;&gt;""),D12/C12,"")</f>
        <v>0.82222222222222219</v>
      </c>
      <c r="F12" s="13"/>
      <c r="G12" s="3"/>
      <c r="H12" s="3"/>
      <c r="I12" s="3" t="str">
        <f>IF(AND(G12&lt;&gt;"",H12&lt;&gt;""),H12/G12,"")</f>
        <v/>
      </c>
    </row>
    <row r="13" spans="1:9" x14ac:dyDescent="0.25">
      <c r="A13" s="14" t="s">
        <v>138</v>
      </c>
      <c r="B13" s="13"/>
      <c r="C13" s="13"/>
      <c r="D13" s="13"/>
      <c r="E13" s="13"/>
      <c r="F13" s="13"/>
      <c r="G13" s="13"/>
      <c r="H13" s="13"/>
      <c r="I13" s="13"/>
    </row>
    <row r="14" spans="1:9" ht="15" x14ac:dyDescent="0.25">
      <c r="A14" s="11" t="s">
        <v>139</v>
      </c>
      <c r="B14" s="15">
        <v>513</v>
      </c>
      <c r="C14" s="15">
        <v>11</v>
      </c>
      <c r="D14" s="15">
        <v>10</v>
      </c>
      <c r="E14" s="16">
        <f t="shared" ref="E14:E19" si="0">IF(AND(C14&lt;&gt;"",D14&lt;&gt;""),D14/C14,"")</f>
        <v>0.90909090909090906</v>
      </c>
      <c r="F14" s="13"/>
      <c r="G14" s="3"/>
      <c r="H14" s="3"/>
      <c r="I14" s="3" t="str">
        <f t="shared" ref="I14:I19" si="1">IF(AND(G14&lt;&gt;"",H14&lt;&gt;""),H14/G14,"")</f>
        <v/>
      </c>
    </row>
    <row r="15" spans="1:9" ht="15" x14ac:dyDescent="0.25">
      <c r="A15" s="11" t="s">
        <v>140</v>
      </c>
      <c r="B15" s="15">
        <v>514</v>
      </c>
      <c r="C15" s="15">
        <v>37</v>
      </c>
      <c r="D15" s="15">
        <v>30</v>
      </c>
      <c r="E15" s="16">
        <f t="shared" si="0"/>
        <v>0.81081081081081086</v>
      </c>
      <c r="F15" s="13"/>
      <c r="G15" s="3"/>
      <c r="H15" s="3"/>
      <c r="I15" s="3" t="str">
        <f t="shared" si="1"/>
        <v/>
      </c>
    </row>
    <row r="16" spans="1:9" ht="15" x14ac:dyDescent="0.25">
      <c r="A16" s="11" t="s">
        <v>141</v>
      </c>
      <c r="B16" s="15">
        <v>515</v>
      </c>
      <c r="C16" s="15">
        <v>15</v>
      </c>
      <c r="D16" s="15">
        <v>11</v>
      </c>
      <c r="E16" s="16">
        <f t="shared" si="0"/>
        <v>0.73333333333333328</v>
      </c>
      <c r="F16" s="13"/>
      <c r="G16" s="3"/>
      <c r="H16" s="3"/>
      <c r="I16" s="3" t="str">
        <f t="shared" si="1"/>
        <v/>
      </c>
    </row>
    <row r="17" spans="1:9" ht="15" x14ac:dyDescent="0.25">
      <c r="A17" s="11" t="s">
        <v>142</v>
      </c>
      <c r="B17" s="15">
        <v>516</v>
      </c>
      <c r="C17" s="15">
        <v>12</v>
      </c>
      <c r="D17" s="15">
        <v>9</v>
      </c>
      <c r="E17" s="16">
        <f t="shared" si="0"/>
        <v>0.75</v>
      </c>
      <c r="F17" s="13"/>
      <c r="G17" s="3"/>
      <c r="H17" s="3"/>
      <c r="I17" s="3" t="str">
        <f t="shared" si="1"/>
        <v/>
      </c>
    </row>
    <row r="18" spans="1:9" ht="15" x14ac:dyDescent="0.25">
      <c r="A18" s="11" t="s">
        <v>143</v>
      </c>
      <c r="B18" s="15">
        <v>516</v>
      </c>
      <c r="C18" s="15">
        <v>35</v>
      </c>
      <c r="D18" s="15">
        <v>22</v>
      </c>
      <c r="E18" s="16">
        <f t="shared" si="0"/>
        <v>0.62857142857142856</v>
      </c>
      <c r="F18" s="13"/>
      <c r="G18" s="3"/>
      <c r="H18" s="3"/>
      <c r="I18" s="3" t="str">
        <f t="shared" si="1"/>
        <v/>
      </c>
    </row>
    <row r="19" spans="1:9" ht="15" x14ac:dyDescent="0.25">
      <c r="A19" s="11" t="s">
        <v>144</v>
      </c>
      <c r="B19" s="15">
        <v>517</v>
      </c>
      <c r="C19" s="15">
        <v>20</v>
      </c>
      <c r="D19" s="15">
        <v>12</v>
      </c>
      <c r="E19" s="16">
        <f t="shared" si="0"/>
        <v>0.6</v>
      </c>
      <c r="F19" s="13"/>
      <c r="G19" s="3"/>
      <c r="H19" s="3"/>
      <c r="I19" s="3" t="str">
        <f t="shared" si="1"/>
        <v/>
      </c>
    </row>
    <row r="20" spans="1:9" x14ac:dyDescent="0.25">
      <c r="A20" s="14" t="s">
        <v>145</v>
      </c>
      <c r="B20" s="13"/>
      <c r="C20" s="13"/>
      <c r="D20" s="13"/>
      <c r="E20" s="13"/>
      <c r="F20" s="13"/>
      <c r="G20" s="13"/>
      <c r="H20" s="13"/>
      <c r="I20" s="13"/>
    </row>
    <row r="21" spans="1:9" ht="15" x14ac:dyDescent="0.25">
      <c r="A21" s="11" t="s">
        <v>146</v>
      </c>
      <c r="B21" s="15">
        <v>518</v>
      </c>
      <c r="C21" s="15">
        <v>16</v>
      </c>
      <c r="D21" s="15">
        <v>12</v>
      </c>
      <c r="E21" s="16">
        <f>IF(AND(C21&lt;&gt;"",D21&lt;&gt;""),D21/C21,"")</f>
        <v>0.75</v>
      </c>
      <c r="F21" s="13"/>
      <c r="G21" s="3"/>
      <c r="H21" s="3"/>
      <c r="I21" s="3" t="str">
        <f>IF(AND(G21&lt;&gt;"",H21&lt;&gt;""),H21/G21,"")</f>
        <v/>
      </c>
    </row>
    <row r="22" spans="1:9" ht="15" x14ac:dyDescent="0.25">
      <c r="A22" s="11" t="s">
        <v>147</v>
      </c>
      <c r="B22" s="15">
        <v>518</v>
      </c>
      <c r="C22" s="15">
        <v>33</v>
      </c>
      <c r="D22" s="15">
        <v>25</v>
      </c>
      <c r="E22" s="16">
        <f>IF(AND(C22&lt;&gt;"",D22&lt;&gt;""),D22/C22,"")</f>
        <v>0.75757575757575757</v>
      </c>
      <c r="F22" s="13"/>
      <c r="G22" s="3"/>
      <c r="H22" s="3"/>
      <c r="I22" s="3" t="str">
        <f>IF(AND(G22&lt;&gt;"",H22&lt;&gt;""),H22/G22,"")</f>
        <v/>
      </c>
    </row>
    <row r="23" spans="1:9" ht="15" x14ac:dyDescent="0.25">
      <c r="A23" s="11" t="s">
        <v>148</v>
      </c>
      <c r="B23" s="15">
        <v>519</v>
      </c>
      <c r="C23" s="15"/>
      <c r="D23" s="15"/>
      <c r="E23" s="16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ht="15" x14ac:dyDescent="0.25">
      <c r="A24" s="11" t="s">
        <v>149</v>
      </c>
      <c r="B24" s="15">
        <v>520</v>
      </c>
      <c r="C24" s="15">
        <v>6</v>
      </c>
      <c r="D24" s="15">
        <v>6</v>
      </c>
      <c r="E24" s="16">
        <f>IF(AND(C24&lt;&gt;"",D24&lt;&gt;""),D24/C24,"")</f>
        <v>1</v>
      </c>
      <c r="F24" s="13"/>
      <c r="G24" s="3"/>
      <c r="H24" s="3"/>
      <c r="I24" s="3" t="str">
        <f>IF(AND(G24&lt;&gt;"",H24&lt;&gt;""),H24/G24,"")</f>
        <v/>
      </c>
    </row>
    <row r="25" spans="1:9" x14ac:dyDescent="0.25">
      <c r="A25" s="14" t="s">
        <v>150</v>
      </c>
      <c r="B25" s="13"/>
      <c r="C25" s="13"/>
      <c r="D25" s="13"/>
      <c r="E25" s="13"/>
      <c r="F25" s="13"/>
      <c r="G25" s="13"/>
      <c r="H25" s="13"/>
      <c r="I25" s="13"/>
    </row>
    <row r="26" spans="1:9" ht="15" x14ac:dyDescent="0.25">
      <c r="A26" s="11" t="s">
        <v>151</v>
      </c>
      <c r="B26" s="15">
        <v>521</v>
      </c>
      <c r="C26" s="15">
        <v>24</v>
      </c>
      <c r="D26" s="15">
        <v>15</v>
      </c>
      <c r="E26" s="16">
        <f t="shared" ref="E26:E32" si="2">IF(AND(C26&lt;&gt;"",D26&lt;&gt;""),D26/C26,"")</f>
        <v>0.625</v>
      </c>
      <c r="F26" s="13"/>
      <c r="G26" s="3"/>
      <c r="H26" s="3"/>
      <c r="I26" s="3" t="str">
        <f t="shared" ref="I26:I32" si="3">IF(AND(G26&lt;&gt;"",H26&lt;&gt;""),H26/G26,"")</f>
        <v/>
      </c>
    </row>
    <row r="27" spans="1:9" ht="15" x14ac:dyDescent="0.25">
      <c r="A27" s="11" t="s">
        <v>152</v>
      </c>
      <c r="B27" s="15">
        <v>521</v>
      </c>
      <c r="C27" s="15">
        <v>11</v>
      </c>
      <c r="D27" s="15">
        <v>8</v>
      </c>
      <c r="E27" s="16">
        <f t="shared" si="2"/>
        <v>0.72727272727272729</v>
      </c>
      <c r="F27" s="13"/>
      <c r="G27" s="3"/>
      <c r="H27" s="3"/>
      <c r="I27" s="3" t="str">
        <f t="shared" si="3"/>
        <v/>
      </c>
    </row>
    <row r="28" spans="1:9" ht="15" x14ac:dyDescent="0.25">
      <c r="A28" s="11" t="s">
        <v>153</v>
      </c>
      <c r="B28" s="15">
        <v>522</v>
      </c>
      <c r="C28" s="15">
        <v>18</v>
      </c>
      <c r="D28" s="15">
        <v>12</v>
      </c>
      <c r="E28" s="16">
        <f t="shared" si="2"/>
        <v>0.66666666666666663</v>
      </c>
      <c r="F28" s="13"/>
      <c r="G28" s="3"/>
      <c r="H28" s="3"/>
      <c r="I28" s="3" t="str">
        <f t="shared" si="3"/>
        <v/>
      </c>
    </row>
    <row r="29" spans="1:9" ht="15" x14ac:dyDescent="0.25">
      <c r="A29" s="11" t="s">
        <v>154</v>
      </c>
      <c r="B29" s="15">
        <v>523</v>
      </c>
      <c r="C29" s="15">
        <v>27</v>
      </c>
      <c r="D29" s="15">
        <v>22</v>
      </c>
      <c r="E29" s="16">
        <f t="shared" si="2"/>
        <v>0.81481481481481477</v>
      </c>
      <c r="F29" s="13"/>
      <c r="G29" s="3"/>
      <c r="H29" s="3"/>
      <c r="I29" s="3" t="str">
        <f t="shared" si="3"/>
        <v/>
      </c>
    </row>
    <row r="30" spans="1:9" ht="15" x14ac:dyDescent="0.25">
      <c r="A30" s="11" t="s">
        <v>155</v>
      </c>
      <c r="B30" s="15">
        <v>524</v>
      </c>
      <c r="C30" s="15">
        <v>13</v>
      </c>
      <c r="D30" s="15">
        <v>7</v>
      </c>
      <c r="E30" s="16">
        <f t="shared" si="2"/>
        <v>0.53846153846153844</v>
      </c>
      <c r="F30" s="13"/>
      <c r="G30" s="3"/>
      <c r="H30" s="3"/>
      <c r="I30" s="3" t="str">
        <f t="shared" si="3"/>
        <v/>
      </c>
    </row>
    <row r="31" spans="1:9" ht="15" x14ac:dyDescent="0.25">
      <c r="A31" s="11" t="s">
        <v>156</v>
      </c>
      <c r="B31" s="15">
        <v>525</v>
      </c>
      <c r="C31" s="15">
        <v>33</v>
      </c>
      <c r="D31" s="15">
        <v>31</v>
      </c>
      <c r="E31" s="16">
        <f t="shared" si="2"/>
        <v>0.93939393939393945</v>
      </c>
      <c r="F31" s="13"/>
      <c r="G31" s="3"/>
      <c r="H31" s="3"/>
      <c r="I31" s="3" t="str">
        <f t="shared" si="3"/>
        <v/>
      </c>
    </row>
    <row r="32" spans="1:9" ht="15" x14ac:dyDescent="0.25">
      <c r="A32" s="11" t="s">
        <v>157</v>
      </c>
      <c r="B32" s="15">
        <v>525</v>
      </c>
      <c r="C32" s="15">
        <v>12</v>
      </c>
      <c r="D32" s="15">
        <v>10</v>
      </c>
      <c r="E32" s="16">
        <f t="shared" si="2"/>
        <v>0.83333333333333337</v>
      </c>
      <c r="F32" s="13"/>
      <c r="G32" s="3"/>
      <c r="H32" s="3"/>
      <c r="I32" s="3" t="str">
        <f t="shared" si="3"/>
        <v/>
      </c>
    </row>
    <row r="33" spans="1:9" x14ac:dyDescent="0.25">
      <c r="A33" s="14" t="s">
        <v>158</v>
      </c>
      <c r="B33" s="13"/>
      <c r="C33" s="13"/>
      <c r="D33" s="13"/>
      <c r="E33" s="13"/>
      <c r="F33" s="13"/>
      <c r="G33" s="13"/>
      <c r="H33" s="13"/>
      <c r="I33" s="13"/>
    </row>
    <row r="34" spans="1:9" ht="15" x14ac:dyDescent="0.25">
      <c r="A34" s="11" t="s">
        <v>159</v>
      </c>
      <c r="B34" s="15">
        <v>526</v>
      </c>
      <c r="C34" s="15">
        <v>25</v>
      </c>
      <c r="D34" s="15">
        <v>20</v>
      </c>
      <c r="E34" s="16">
        <f>IF(AND(C34&lt;&gt;"",D34&lt;&gt;""),D34/C34,"")</f>
        <v>0.8</v>
      </c>
      <c r="F34" s="13"/>
      <c r="G34" s="3"/>
      <c r="H34" s="3"/>
      <c r="I34" s="3" t="str">
        <f>IF(AND(G34&lt;&gt;"",H34&lt;&gt;""),H34/G34,"")</f>
        <v/>
      </c>
    </row>
    <row r="35" spans="1:9" ht="15" x14ac:dyDescent="0.25">
      <c r="A35" s="11" t="s">
        <v>160</v>
      </c>
      <c r="B35" s="15">
        <v>526</v>
      </c>
      <c r="C35" s="15">
        <v>20</v>
      </c>
      <c r="D35" s="15">
        <v>16</v>
      </c>
      <c r="E35" s="16">
        <f>IF(AND(C35&lt;&gt;"",D35&lt;&gt;""),D35/C35,"")</f>
        <v>0.8</v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4" t="s">
        <v>161</v>
      </c>
      <c r="B36" s="13"/>
      <c r="C36" s="13"/>
      <c r="D36" s="13"/>
      <c r="E36" s="13"/>
      <c r="F36" s="13"/>
      <c r="G36" s="13"/>
      <c r="H36" s="13"/>
      <c r="I36" s="13"/>
    </row>
    <row r="37" spans="1:9" ht="15" x14ac:dyDescent="0.25">
      <c r="A37" s="11" t="s">
        <v>162</v>
      </c>
      <c r="B37" s="15">
        <v>526</v>
      </c>
      <c r="C37" s="15">
        <v>4</v>
      </c>
      <c r="D37" s="15">
        <v>4</v>
      </c>
      <c r="E37" s="16">
        <f>IF(AND(C37&lt;&gt;"",D37&lt;&gt;""),D37/C37,"")</f>
        <v>1</v>
      </c>
      <c r="F37" s="13"/>
      <c r="G37" s="3"/>
      <c r="H37" s="3"/>
      <c r="I37" s="3" t="str">
        <f>IF(AND(G37&lt;&gt;"",H37&lt;&gt;""),H37/G37,"")</f>
        <v/>
      </c>
    </row>
    <row r="38" spans="1:9" ht="15" x14ac:dyDescent="0.25">
      <c r="A38" s="11" t="s">
        <v>163</v>
      </c>
      <c r="B38" s="15">
        <v>527</v>
      </c>
      <c r="C38" s="15">
        <v>17</v>
      </c>
      <c r="D38" s="15">
        <v>10</v>
      </c>
      <c r="E38" s="16">
        <f>IF(AND(C38&lt;&gt;"",D38&lt;&gt;""),D38/C38,"")</f>
        <v>0.58823529411764708</v>
      </c>
      <c r="F38" s="13"/>
      <c r="G38" s="3"/>
      <c r="H38" s="3"/>
      <c r="I38" s="3" t="str">
        <f>IF(AND(G38&lt;&gt;"",H38&lt;&gt;""),H38/G38,"")</f>
        <v/>
      </c>
    </row>
    <row r="39" spans="1:9" ht="15" x14ac:dyDescent="0.25">
      <c r="A39" s="11" t="s">
        <v>164</v>
      </c>
      <c r="B39" s="15">
        <v>528</v>
      </c>
      <c r="C39" s="15">
        <v>55</v>
      </c>
      <c r="D39" s="15">
        <v>33</v>
      </c>
      <c r="E39" s="16">
        <f>IF(AND(C39&lt;&gt;"",D39&lt;&gt;""),D39/C39,"")</f>
        <v>0.6</v>
      </c>
      <c r="F39" s="13"/>
      <c r="G39" s="3"/>
      <c r="H39" s="3"/>
      <c r="I39" s="3" t="str">
        <f>IF(AND(G39&lt;&gt;"",H39&lt;&gt;""),H39/G39,"")</f>
        <v/>
      </c>
    </row>
    <row r="40" spans="1:9" x14ac:dyDescent="0.25">
      <c r="A40" s="12" t="s">
        <v>126</v>
      </c>
      <c r="B40" s="12"/>
      <c r="C40" s="12">
        <f>SUM(C5:C39)</f>
        <v>593</v>
      </c>
      <c r="D40" s="12">
        <f>SUM(D5:D39)</f>
        <v>438</v>
      </c>
      <c r="E40" s="12">
        <f>IF(C40&gt;0, D40/C40,"")</f>
        <v>0.73861720067453629</v>
      </c>
      <c r="F40" s="12"/>
      <c r="G40" s="12">
        <f>SUM(G5:G39)</f>
        <v>0</v>
      </c>
      <c r="H40" s="12">
        <f>SUM(H5:H39)</f>
        <v>0</v>
      </c>
      <c r="I40" s="12" t="str">
        <f>IF(G40&gt;0, H40/G40,"")</f>
        <v/>
      </c>
    </row>
    <row r="42" spans="1:9" x14ac:dyDescent="0.25">
      <c r="A42" s="8" t="s">
        <v>127</v>
      </c>
      <c r="B42" s="8"/>
      <c r="C42" s="8">
        <f>C40+G40</f>
        <v>593</v>
      </c>
      <c r="D42" s="8">
        <f>D40+H40</f>
        <v>438</v>
      </c>
      <c r="E42" s="8">
        <f>IF(C42&gt;0, D42/C42,"")</f>
        <v>0.73861720067453629</v>
      </c>
      <c r="F42" s="8"/>
      <c r="G42" s="8"/>
      <c r="H42" s="8"/>
      <c r="I42" s="8"/>
    </row>
    <row r="45" spans="1:9" x14ac:dyDescent="0.25">
      <c r="A45" s="9" t="s">
        <v>100</v>
      </c>
      <c r="B45" s="9" t="s">
        <v>128</v>
      </c>
      <c r="C45" s="9" t="s">
        <v>129</v>
      </c>
    </row>
    <row r="46" spans="1:9" x14ac:dyDescent="0.25">
      <c r="A46" t="s">
        <v>131</v>
      </c>
      <c r="B46">
        <f>E6</f>
        <v>1</v>
      </c>
      <c r="C46" t="str">
        <f>I6</f>
        <v/>
      </c>
    </row>
    <row r="47" spans="1:9" x14ac:dyDescent="0.25">
      <c r="A47" t="s">
        <v>132</v>
      </c>
      <c r="B47">
        <f>E7</f>
        <v>0.9285714285714286</v>
      </c>
      <c r="C47" t="str">
        <f>I7</f>
        <v/>
      </c>
    </row>
    <row r="48" spans="1:9" x14ac:dyDescent="0.25">
      <c r="A48" t="s">
        <v>133</v>
      </c>
      <c r="B48">
        <f>E8</f>
        <v>0.6</v>
      </c>
      <c r="C48" t="str">
        <f>I8</f>
        <v/>
      </c>
    </row>
    <row r="49" spans="1:3" x14ac:dyDescent="0.25">
      <c r="A49" t="s">
        <v>135</v>
      </c>
      <c r="B49">
        <f>E10</f>
        <v>0.73529411764705888</v>
      </c>
      <c r="C49" t="str">
        <f>I10</f>
        <v/>
      </c>
    </row>
    <row r="50" spans="1:3" x14ac:dyDescent="0.25">
      <c r="A50" t="s">
        <v>136</v>
      </c>
      <c r="B50">
        <f>E11</f>
        <v>0.7142857142857143</v>
      </c>
      <c r="C50" t="str">
        <f>I11</f>
        <v/>
      </c>
    </row>
    <row r="51" spans="1:3" x14ac:dyDescent="0.25">
      <c r="A51" t="s">
        <v>137</v>
      </c>
      <c r="B51">
        <f>E12</f>
        <v>0.82222222222222219</v>
      </c>
      <c r="C51" t="str">
        <f>I12</f>
        <v/>
      </c>
    </row>
    <row r="52" spans="1:3" x14ac:dyDescent="0.25">
      <c r="A52" t="s">
        <v>139</v>
      </c>
      <c r="B52">
        <f t="shared" ref="B52:B57" si="4">E14</f>
        <v>0.90909090909090906</v>
      </c>
      <c r="C52" t="str">
        <f t="shared" ref="C52:C57" si="5">I14</f>
        <v/>
      </c>
    </row>
    <row r="53" spans="1:3" x14ac:dyDescent="0.25">
      <c r="A53" t="s">
        <v>140</v>
      </c>
      <c r="B53">
        <f t="shared" si="4"/>
        <v>0.81081081081081086</v>
      </c>
      <c r="C53" t="str">
        <f t="shared" si="5"/>
        <v/>
      </c>
    </row>
    <row r="54" spans="1:3" x14ac:dyDescent="0.25">
      <c r="A54" t="s">
        <v>141</v>
      </c>
      <c r="B54">
        <f t="shared" si="4"/>
        <v>0.73333333333333328</v>
      </c>
      <c r="C54" t="str">
        <f t="shared" si="5"/>
        <v/>
      </c>
    </row>
    <row r="55" spans="1:3" x14ac:dyDescent="0.25">
      <c r="A55" t="s">
        <v>142</v>
      </c>
      <c r="B55">
        <f t="shared" si="4"/>
        <v>0.75</v>
      </c>
      <c r="C55" t="str">
        <f t="shared" si="5"/>
        <v/>
      </c>
    </row>
    <row r="56" spans="1:3" x14ac:dyDescent="0.25">
      <c r="A56" t="s">
        <v>143</v>
      </c>
      <c r="B56">
        <f t="shared" si="4"/>
        <v>0.62857142857142856</v>
      </c>
      <c r="C56" t="str">
        <f t="shared" si="5"/>
        <v/>
      </c>
    </row>
    <row r="57" spans="1:3" x14ac:dyDescent="0.25">
      <c r="A57" t="s">
        <v>144</v>
      </c>
      <c r="B57">
        <f t="shared" si="4"/>
        <v>0.6</v>
      </c>
      <c r="C57" t="str">
        <f t="shared" si="5"/>
        <v/>
      </c>
    </row>
    <row r="58" spans="1:3" x14ac:dyDescent="0.25">
      <c r="A58" t="s">
        <v>146</v>
      </c>
      <c r="B58">
        <f>E21</f>
        <v>0.75</v>
      </c>
      <c r="C58" t="str">
        <f>I21</f>
        <v/>
      </c>
    </row>
    <row r="59" spans="1:3" x14ac:dyDescent="0.25">
      <c r="A59" t="s">
        <v>147</v>
      </c>
      <c r="B59">
        <f>E22</f>
        <v>0.75757575757575757</v>
      </c>
      <c r="C59" t="str">
        <f>I22</f>
        <v/>
      </c>
    </row>
    <row r="60" spans="1:3" x14ac:dyDescent="0.25">
      <c r="A60" t="s">
        <v>148</v>
      </c>
      <c r="B60" t="str">
        <f>E23</f>
        <v/>
      </c>
      <c r="C60" t="str">
        <f>I23</f>
        <v/>
      </c>
    </row>
    <row r="61" spans="1:3" x14ac:dyDescent="0.25">
      <c r="A61" t="s">
        <v>149</v>
      </c>
      <c r="B61">
        <f>E24</f>
        <v>1</v>
      </c>
      <c r="C61" t="str">
        <f>I24</f>
        <v/>
      </c>
    </row>
    <row r="62" spans="1:3" x14ac:dyDescent="0.25">
      <c r="A62" t="s">
        <v>151</v>
      </c>
      <c r="B62">
        <f t="shared" ref="B62:B68" si="6">E26</f>
        <v>0.625</v>
      </c>
      <c r="C62" t="str">
        <f t="shared" ref="C62:C68" si="7">I26</f>
        <v/>
      </c>
    </row>
    <row r="63" spans="1:3" x14ac:dyDescent="0.25">
      <c r="A63" t="s">
        <v>152</v>
      </c>
      <c r="B63">
        <f t="shared" si="6"/>
        <v>0.72727272727272729</v>
      </c>
      <c r="C63" t="str">
        <f t="shared" si="7"/>
        <v/>
      </c>
    </row>
    <row r="64" spans="1:3" x14ac:dyDescent="0.25">
      <c r="A64" t="s">
        <v>153</v>
      </c>
      <c r="B64">
        <f t="shared" si="6"/>
        <v>0.66666666666666663</v>
      </c>
      <c r="C64" t="str">
        <f t="shared" si="7"/>
        <v/>
      </c>
    </row>
    <row r="65" spans="1:3" x14ac:dyDescent="0.25">
      <c r="A65" t="s">
        <v>154</v>
      </c>
      <c r="B65">
        <f t="shared" si="6"/>
        <v>0.81481481481481477</v>
      </c>
      <c r="C65" t="str">
        <f t="shared" si="7"/>
        <v/>
      </c>
    </row>
    <row r="66" spans="1:3" x14ac:dyDescent="0.25">
      <c r="A66" t="s">
        <v>155</v>
      </c>
      <c r="B66">
        <f t="shared" si="6"/>
        <v>0.53846153846153844</v>
      </c>
      <c r="C66" t="str">
        <f t="shared" si="7"/>
        <v/>
      </c>
    </row>
    <row r="67" spans="1:3" x14ac:dyDescent="0.25">
      <c r="A67" t="s">
        <v>156</v>
      </c>
      <c r="B67">
        <f t="shared" si="6"/>
        <v>0.93939393939393945</v>
      </c>
      <c r="C67" t="str">
        <f t="shared" si="7"/>
        <v/>
      </c>
    </row>
    <row r="68" spans="1:3" x14ac:dyDescent="0.25">
      <c r="A68" t="s">
        <v>157</v>
      </c>
      <c r="B68">
        <f t="shared" si="6"/>
        <v>0.83333333333333337</v>
      </c>
      <c r="C68" t="str">
        <f t="shared" si="7"/>
        <v/>
      </c>
    </row>
    <row r="69" spans="1:3" x14ac:dyDescent="0.25">
      <c r="A69" t="s">
        <v>159</v>
      </c>
      <c r="B69">
        <f>E34</f>
        <v>0.8</v>
      </c>
      <c r="C69" t="str">
        <f>I34</f>
        <v/>
      </c>
    </row>
    <row r="70" spans="1:3" x14ac:dyDescent="0.25">
      <c r="A70" t="s">
        <v>160</v>
      </c>
      <c r="B70">
        <f>E35</f>
        <v>0.8</v>
      </c>
      <c r="C70" t="str">
        <f>I35</f>
        <v/>
      </c>
    </row>
    <row r="71" spans="1:3" x14ac:dyDescent="0.25">
      <c r="A71" t="s">
        <v>162</v>
      </c>
      <c r="B71">
        <f>E37</f>
        <v>1</v>
      </c>
      <c r="C71" t="str">
        <f>I37</f>
        <v/>
      </c>
    </row>
    <row r="72" spans="1:3" x14ac:dyDescent="0.25">
      <c r="A72" t="s">
        <v>163</v>
      </c>
      <c r="B72">
        <f>E38</f>
        <v>0.58823529411764708</v>
      </c>
      <c r="C72" t="str">
        <f>I38</f>
        <v/>
      </c>
    </row>
    <row r="73" spans="1:3" x14ac:dyDescent="0.25">
      <c r="A73" t="s">
        <v>164</v>
      </c>
      <c r="B73">
        <f>E39</f>
        <v>0.6</v>
      </c>
      <c r="C73" t="str">
        <f>I39</f>
        <v/>
      </c>
    </row>
  </sheetData>
  <mergeCells count="3">
    <mergeCell ref="G3:I3"/>
    <mergeCell ref="A1:I1"/>
    <mergeCell ref="A3:E3"/>
  </mergeCells>
  <phoneticPr fontId="10" type="noConversion"/>
  <conditionalFormatting sqref="E6:E8">
    <cfRule type="cellIs" dxfId="146" priority="22" operator="greaterThanOrEqual">
      <formula>0.9</formula>
    </cfRule>
    <cfRule type="cellIs" dxfId="145" priority="23" operator="between">
      <formula>0.8</formula>
      <formula>0.9</formula>
    </cfRule>
    <cfRule type="cellIs" dxfId="144" priority="24" operator="lessThan">
      <formula>0.8</formula>
    </cfRule>
  </conditionalFormatting>
  <conditionalFormatting sqref="E10:E12">
    <cfRule type="cellIs" dxfId="143" priority="19" operator="greaterThanOrEqual">
      <formula>0.9</formula>
    </cfRule>
    <cfRule type="cellIs" dxfId="142" priority="20" operator="between">
      <formula>0.8</formula>
      <formula>0.9</formula>
    </cfRule>
    <cfRule type="cellIs" dxfId="141" priority="21" operator="lessThan">
      <formula>0.8</formula>
    </cfRule>
  </conditionalFormatting>
  <conditionalFormatting sqref="E14:E19">
    <cfRule type="cellIs" dxfId="140" priority="16" operator="greaterThanOrEqual">
      <formula>0.9</formula>
    </cfRule>
    <cfRule type="cellIs" dxfId="139" priority="17" operator="between">
      <formula>0.8</formula>
      <formula>0.9</formula>
    </cfRule>
    <cfRule type="cellIs" dxfId="138" priority="18" operator="lessThan">
      <formula>0.8</formula>
    </cfRule>
  </conditionalFormatting>
  <conditionalFormatting sqref="E21:E24">
    <cfRule type="cellIs" dxfId="137" priority="10" operator="greaterThanOrEqual">
      <formula>0.9</formula>
    </cfRule>
    <cfRule type="cellIs" dxfId="136" priority="11" operator="between">
      <formula>0.8</formula>
      <formula>0.9</formula>
    </cfRule>
    <cfRule type="cellIs" dxfId="135" priority="12" operator="lessThan">
      <formula>0.8</formula>
    </cfRule>
  </conditionalFormatting>
  <conditionalFormatting sqref="E26:E32">
    <cfRule type="cellIs" dxfId="134" priority="7" operator="greaterThanOrEqual">
      <formula>0.9</formula>
    </cfRule>
    <cfRule type="cellIs" dxfId="133" priority="8" operator="between">
      <formula>0.8</formula>
      <formula>0.9</formula>
    </cfRule>
    <cfRule type="cellIs" dxfId="132" priority="9" operator="lessThan">
      <formula>0.8</formula>
    </cfRule>
  </conditionalFormatting>
  <conditionalFormatting sqref="E34:E35">
    <cfRule type="cellIs" dxfId="131" priority="4" operator="greaterThanOrEqual">
      <formula>0.9</formula>
    </cfRule>
    <cfRule type="cellIs" dxfId="130" priority="5" operator="between">
      <formula>0.8</formula>
      <formula>0.9</formula>
    </cfRule>
    <cfRule type="cellIs" dxfId="129" priority="6" operator="lessThan">
      <formula>0.8</formula>
    </cfRule>
  </conditionalFormatting>
  <conditionalFormatting sqref="E37:E39">
    <cfRule type="cellIs" dxfId="128" priority="2" operator="between">
      <formula>0.8</formula>
      <formula>0.9</formula>
    </cfRule>
    <cfRule type="cellIs" dxfId="127" priority="3" operator="lessThan">
      <formula>0.8</formula>
    </cfRule>
    <cfRule type="cellIs" dxfId="126" priority="1" operator="greaterThanOrEqual">
      <formula>0.9</formula>
    </cfRule>
  </conditionalFormatting>
  <conditionalFormatting sqref="E40">
    <cfRule type="cellIs" dxfId="125" priority="100" operator="greaterThanOrEqual">
      <formula>0.9</formula>
    </cfRule>
    <cfRule type="cellIs" dxfId="124" priority="101" operator="between">
      <formula>0.8</formula>
      <formula>0.9</formula>
    </cfRule>
    <cfRule type="cellIs" dxfId="123" priority="102" operator="lessThan">
      <formula>0.8</formula>
    </cfRule>
  </conditionalFormatting>
  <conditionalFormatting sqref="E42">
    <cfRule type="cellIs" dxfId="122" priority="112" operator="greaterThanOrEqual">
      <formula>0.9</formula>
    </cfRule>
    <cfRule type="cellIs" dxfId="121" priority="113" operator="between">
      <formula>0.8</formula>
      <formula>0.9</formula>
    </cfRule>
    <cfRule type="cellIs" dxfId="120" priority="114" operator="lessThan">
      <formula>0.8</formula>
    </cfRule>
  </conditionalFormatting>
  <conditionalFormatting sqref="I6:I8">
    <cfRule type="cellIs" dxfId="119" priority="115" operator="greaterThanOrEqual">
      <formula>0.9</formula>
    </cfRule>
    <cfRule type="cellIs" dxfId="118" priority="116" operator="between">
      <formula>0.8</formula>
      <formula>0.9</formula>
    </cfRule>
    <cfRule type="cellIs" dxfId="117" priority="117" operator="lessThan">
      <formula>0.8</formula>
    </cfRule>
  </conditionalFormatting>
  <conditionalFormatting sqref="I10:I12">
    <cfRule type="cellIs" dxfId="116" priority="124" operator="greaterThanOrEqual">
      <formula>0.9</formula>
    </cfRule>
    <cfRule type="cellIs" dxfId="115" priority="125" operator="between">
      <formula>0.8</formula>
      <formula>0.9</formula>
    </cfRule>
    <cfRule type="cellIs" dxfId="114" priority="126" operator="lessThan">
      <formula>0.8</formula>
    </cfRule>
  </conditionalFormatting>
  <conditionalFormatting sqref="I14:I19">
    <cfRule type="cellIs" dxfId="113" priority="133" operator="greaterThanOrEqual">
      <formula>0.9</formula>
    </cfRule>
    <cfRule type="cellIs" dxfId="112" priority="134" operator="between">
      <formula>0.8</formula>
      <formula>0.9</formula>
    </cfRule>
    <cfRule type="cellIs" dxfId="111" priority="135" operator="lessThan">
      <formula>0.8</formula>
    </cfRule>
  </conditionalFormatting>
  <conditionalFormatting sqref="I21:I24">
    <cfRule type="cellIs" dxfId="110" priority="151" operator="greaterThanOrEqual">
      <formula>0.9</formula>
    </cfRule>
    <cfRule type="cellIs" dxfId="109" priority="152" operator="between">
      <formula>0.8</formula>
      <formula>0.9</formula>
    </cfRule>
    <cfRule type="cellIs" dxfId="108" priority="153" operator="lessThan">
      <formula>0.8</formula>
    </cfRule>
  </conditionalFormatting>
  <conditionalFormatting sqref="I26:I32">
    <cfRule type="cellIs" dxfId="107" priority="163" operator="greaterThanOrEqual">
      <formula>0.9</formula>
    </cfRule>
    <cfRule type="cellIs" dxfId="106" priority="164" operator="between">
      <formula>0.8</formula>
      <formula>0.9</formula>
    </cfRule>
    <cfRule type="cellIs" dxfId="105" priority="165" operator="lessThan">
      <formula>0.8</formula>
    </cfRule>
  </conditionalFormatting>
  <conditionalFormatting sqref="I34:I35">
    <cfRule type="cellIs" dxfId="104" priority="184" operator="greaterThanOrEqual">
      <formula>0.9</formula>
    </cfRule>
    <cfRule type="cellIs" dxfId="103" priority="185" operator="between">
      <formula>0.8</formula>
      <formula>0.9</formula>
    </cfRule>
    <cfRule type="cellIs" dxfId="102" priority="186" operator="lessThan">
      <formula>0.8</formula>
    </cfRule>
  </conditionalFormatting>
  <conditionalFormatting sqref="I37:I40">
    <cfRule type="cellIs" dxfId="101" priority="190" operator="greaterThanOrEqual">
      <formula>0.9</formula>
    </cfRule>
    <cfRule type="cellIs" dxfId="100" priority="191" operator="between">
      <formula>0.8</formula>
      <formula>0.9</formula>
    </cfRule>
    <cfRule type="cellIs" dxfId="99" priority="192" operator="lessThan">
      <formula>0.8</formula>
    </cfRule>
  </conditionalFormatting>
  <conditionalFormatting sqref="I42">
    <cfRule type="cellIs" dxfId="98" priority="202" operator="greaterThanOrEqual">
      <formula>0.9</formula>
    </cfRule>
    <cfRule type="cellIs" dxfId="97" priority="203" operator="between">
      <formula>0.8</formula>
      <formula>0.9</formula>
    </cfRule>
    <cfRule type="cellIs" dxfId="96" priority="204" operator="lessThan">
      <formula>0.8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82"/>
  <sheetViews>
    <sheetView topLeftCell="A89"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20" t="s">
        <v>165</v>
      </c>
      <c r="B1" s="21"/>
      <c r="C1" s="21"/>
      <c r="D1" s="21"/>
      <c r="E1" s="21"/>
      <c r="F1" s="21"/>
      <c r="G1" s="21"/>
      <c r="H1" s="21"/>
      <c r="I1" s="21"/>
    </row>
    <row r="3" spans="1:9" x14ac:dyDescent="0.25">
      <c r="A3" s="22" t="s">
        <v>98</v>
      </c>
      <c r="B3" s="18"/>
      <c r="C3" s="18"/>
      <c r="D3" s="18"/>
      <c r="E3" s="19"/>
      <c r="F3" s="13"/>
      <c r="G3" s="17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166</v>
      </c>
      <c r="B5" s="13"/>
      <c r="C5" s="13"/>
      <c r="D5" s="13"/>
      <c r="E5" s="13"/>
      <c r="F5" s="13"/>
      <c r="G5" s="13"/>
      <c r="H5" s="13"/>
      <c r="I5" s="13"/>
    </row>
    <row r="6" spans="1:9" x14ac:dyDescent="0.25">
      <c r="A6" s="11" t="s">
        <v>167</v>
      </c>
      <c r="B6" s="3"/>
      <c r="C6" s="3"/>
      <c r="D6" s="3"/>
      <c r="E6" s="3" t="str">
        <f>IF(AND(C6&lt;&gt;"",D6&lt;&gt;""),D6/C6,"")</f>
        <v/>
      </c>
      <c r="F6" s="13"/>
      <c r="G6" s="3"/>
      <c r="H6" s="3"/>
      <c r="I6" s="3" t="str">
        <f>IF(AND(G6&lt;&gt;"",H6&lt;&gt;""),H6/G6,"")</f>
        <v/>
      </c>
    </row>
    <row r="7" spans="1:9" x14ac:dyDescent="0.25">
      <c r="A7" s="11" t="s">
        <v>168</v>
      </c>
      <c r="B7" s="3"/>
      <c r="C7" s="3"/>
      <c r="D7" s="3"/>
      <c r="E7" s="3" t="str">
        <f>IF(AND(C7&lt;&gt;"",D7&lt;&gt;""),D7/C7,"")</f>
        <v/>
      </c>
      <c r="F7" s="13"/>
      <c r="G7" s="3"/>
      <c r="H7" s="3"/>
      <c r="I7" s="3" t="str">
        <f>IF(AND(G7&lt;&gt;"",H7&lt;&gt;""),H7/G7,"")</f>
        <v/>
      </c>
    </row>
    <row r="8" spans="1:9" x14ac:dyDescent="0.25">
      <c r="A8" s="14" t="s">
        <v>169</v>
      </c>
      <c r="B8" s="13"/>
      <c r="C8" s="13"/>
      <c r="D8" s="13"/>
      <c r="E8" s="13"/>
      <c r="F8" s="13"/>
      <c r="G8" s="13"/>
      <c r="H8" s="13"/>
      <c r="I8" s="13"/>
    </row>
    <row r="9" spans="1:9" x14ac:dyDescent="0.25">
      <c r="A9" s="11" t="s">
        <v>170</v>
      </c>
      <c r="B9" s="3"/>
      <c r="C9" s="3"/>
      <c r="D9" s="3"/>
      <c r="E9" s="3" t="str">
        <f>IF(AND(C9&lt;&gt;"",D9&lt;&gt;""),D9/C9,"")</f>
        <v/>
      </c>
      <c r="F9" s="13"/>
      <c r="G9" s="3"/>
      <c r="H9" s="3"/>
      <c r="I9" s="3" t="str">
        <f>IF(AND(G9&lt;&gt;"",H9&lt;&gt;""),H9/G9,"")</f>
        <v/>
      </c>
    </row>
    <row r="10" spans="1:9" x14ac:dyDescent="0.25">
      <c r="A10" s="11" t="s">
        <v>171</v>
      </c>
      <c r="B10" s="3"/>
      <c r="C10" s="3"/>
      <c r="D10" s="3"/>
      <c r="E10" s="3" t="str">
        <f>IF(AND(C10&lt;&gt;"",D10&lt;&gt;""),D10/C10,"")</f>
        <v/>
      </c>
      <c r="F10" s="13"/>
      <c r="G10" s="3"/>
      <c r="H10" s="3"/>
      <c r="I10" s="3" t="str">
        <f>IF(AND(G10&lt;&gt;"",H10&lt;&gt;""),H10/G10,"")</f>
        <v/>
      </c>
    </row>
    <row r="11" spans="1:9" x14ac:dyDescent="0.25">
      <c r="A11" s="11" t="s">
        <v>172</v>
      </c>
      <c r="B11" s="3"/>
      <c r="C11" s="3"/>
      <c r="D11" s="3"/>
      <c r="E11" s="3" t="str">
        <f>IF(AND(C11&lt;&gt;"",D11&lt;&gt;""),D11/C11,"")</f>
        <v/>
      </c>
      <c r="F11" s="13"/>
      <c r="G11" s="3"/>
      <c r="H11" s="3"/>
      <c r="I11" s="3" t="str">
        <f>IF(AND(G11&lt;&gt;"",H11&lt;&gt;""),H11/G11,"")</f>
        <v/>
      </c>
    </row>
    <row r="12" spans="1:9" x14ac:dyDescent="0.25">
      <c r="A12" s="14" t="s">
        <v>173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11" t="s">
        <v>174</v>
      </c>
      <c r="B13" s="3"/>
      <c r="C13" s="3"/>
      <c r="D13" s="3"/>
      <c r="E13" s="3" t="str">
        <f>IF(AND(C13&lt;&gt;"",D13&lt;&gt;""),D13/C13,"")</f>
        <v/>
      </c>
      <c r="F13" s="13"/>
      <c r="G13" s="3"/>
      <c r="H13" s="3"/>
      <c r="I13" s="3" t="str">
        <f>IF(AND(G13&lt;&gt;"",H13&lt;&gt;""),H13/G13,"")</f>
        <v/>
      </c>
    </row>
    <row r="14" spans="1:9" x14ac:dyDescent="0.25">
      <c r="A14" s="11" t="s">
        <v>175</v>
      </c>
      <c r="B14" s="3"/>
      <c r="C14" s="3"/>
      <c r="D14" s="3"/>
      <c r="E14" s="3" t="str">
        <f>IF(AND(C14&lt;&gt;"",D14&lt;&gt;""),D14/C14,"")</f>
        <v/>
      </c>
      <c r="F14" s="13"/>
      <c r="G14" s="3"/>
      <c r="H14" s="3"/>
      <c r="I14" s="3" t="str">
        <f>IF(AND(G14&lt;&gt;"",H14&lt;&gt;""),H14/G14,"")</f>
        <v/>
      </c>
    </row>
    <row r="15" spans="1:9" x14ac:dyDescent="0.25">
      <c r="A15" s="11" t="s">
        <v>176</v>
      </c>
      <c r="B15" s="3"/>
      <c r="C15" s="3"/>
      <c r="D15" s="3"/>
      <c r="E15" s="3" t="str">
        <f>IF(AND(C15&lt;&gt;"",D15&lt;&gt;""),D15/C15,"")</f>
        <v/>
      </c>
      <c r="F15" s="13"/>
      <c r="G15" s="3"/>
      <c r="H15" s="3"/>
      <c r="I15" s="3" t="str">
        <f>IF(AND(G15&lt;&gt;"",H15&lt;&gt;""),H15/G15,"")</f>
        <v/>
      </c>
    </row>
    <row r="16" spans="1:9" x14ac:dyDescent="0.25">
      <c r="A16" s="11" t="s">
        <v>177</v>
      </c>
      <c r="B16" s="3"/>
      <c r="C16" s="3"/>
      <c r="D16" s="3"/>
      <c r="E16" s="3" t="str">
        <f>IF(AND(C16&lt;&gt;"",D16&lt;&gt;""),D16/C16,"")</f>
        <v/>
      </c>
      <c r="F16" s="13"/>
      <c r="G16" s="3"/>
      <c r="H16" s="3"/>
      <c r="I16" s="3" t="str">
        <f>IF(AND(G16&lt;&gt;"",H16&lt;&gt;""),H16/G16,"")</f>
        <v/>
      </c>
    </row>
    <row r="17" spans="1:9" x14ac:dyDescent="0.25">
      <c r="A17" s="14" t="s">
        <v>178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11" t="s">
        <v>179</v>
      </c>
      <c r="B18" s="3"/>
      <c r="C18" s="3"/>
      <c r="D18" s="3"/>
      <c r="E18" s="3" t="str">
        <f>IF(AND(C18&lt;&gt;"",D18&lt;&gt;""),D18/C18,"")</f>
        <v/>
      </c>
      <c r="F18" s="13"/>
      <c r="G18" s="3"/>
      <c r="H18" s="3"/>
      <c r="I18" s="3" t="str">
        <f>IF(AND(G18&lt;&gt;"",H18&lt;&gt;""),H18/G18,"")</f>
        <v/>
      </c>
    </row>
    <row r="19" spans="1:9" x14ac:dyDescent="0.25">
      <c r="A19" s="11" t="s">
        <v>180</v>
      </c>
      <c r="B19" s="3"/>
      <c r="C19" s="3"/>
      <c r="D19" s="3"/>
      <c r="E19" s="3" t="str">
        <f>IF(AND(C19&lt;&gt;"",D19&lt;&gt;""),D19/C19,"")</f>
        <v/>
      </c>
      <c r="F19" s="13"/>
      <c r="G19" s="3"/>
      <c r="H19" s="3"/>
      <c r="I19" s="3" t="str">
        <f>IF(AND(G19&lt;&gt;"",H19&lt;&gt;""),H19/G19,"")</f>
        <v/>
      </c>
    </row>
    <row r="20" spans="1:9" x14ac:dyDescent="0.25">
      <c r="A20" s="14" t="s">
        <v>181</v>
      </c>
      <c r="B20" s="13"/>
      <c r="C20" s="13"/>
      <c r="D20" s="13"/>
      <c r="E20" s="13"/>
      <c r="F20" s="13"/>
      <c r="G20" s="13"/>
      <c r="H20" s="13"/>
      <c r="I20" s="13"/>
    </row>
    <row r="21" spans="1:9" x14ac:dyDescent="0.25">
      <c r="A21" s="11" t="s">
        <v>182</v>
      </c>
      <c r="B21" s="3"/>
      <c r="C21" s="3"/>
      <c r="D21" s="3"/>
      <c r="E21" s="3" t="str">
        <f>IF(AND(C21&lt;&gt;"",D21&lt;&gt;""),D21/C21,"")</f>
        <v/>
      </c>
      <c r="F21" s="13"/>
      <c r="G21" s="3"/>
      <c r="H21" s="3"/>
      <c r="I21" s="3" t="str">
        <f>IF(AND(G21&lt;&gt;"",H21&lt;&gt;""),H21/G21,"")</f>
        <v/>
      </c>
    </row>
    <row r="22" spans="1:9" x14ac:dyDescent="0.25">
      <c r="A22" s="11" t="s">
        <v>183</v>
      </c>
      <c r="B22" s="3"/>
      <c r="C22" s="3"/>
      <c r="D22" s="3"/>
      <c r="E22" s="3" t="str">
        <f>IF(AND(C22&lt;&gt;"",D22&lt;&gt;""),D22/C22,"")</f>
        <v/>
      </c>
      <c r="F22" s="13"/>
      <c r="G22" s="3"/>
      <c r="H22" s="3"/>
      <c r="I22" s="3" t="str">
        <f>IF(AND(G22&lt;&gt;"",H22&lt;&gt;""),H22/G22,"")</f>
        <v/>
      </c>
    </row>
    <row r="23" spans="1:9" x14ac:dyDescent="0.25">
      <c r="A23" s="11" t="s">
        <v>184</v>
      </c>
      <c r="B23" s="3"/>
      <c r="C23" s="3"/>
      <c r="D23" s="3"/>
      <c r="E23" s="3" t="str">
        <f>IF(AND(C23&lt;&gt;"",D23&lt;&gt;""),D23/C23,"")</f>
        <v/>
      </c>
      <c r="F23" s="13"/>
      <c r="G23" s="3"/>
      <c r="H23" s="3"/>
      <c r="I23" s="3" t="str">
        <f>IF(AND(G23&lt;&gt;"",H23&lt;&gt;""),H23/G23,"")</f>
        <v/>
      </c>
    </row>
    <row r="24" spans="1:9" x14ac:dyDescent="0.25">
      <c r="A24" s="11" t="s">
        <v>185</v>
      </c>
      <c r="B24" s="3"/>
      <c r="C24" s="3"/>
      <c r="D24" s="3"/>
      <c r="E24" s="3" t="str">
        <f>IF(AND(C24&lt;&gt;"",D24&lt;&gt;""),D24/C24,"")</f>
        <v/>
      </c>
      <c r="F24" s="13"/>
      <c r="G24" s="3"/>
      <c r="H24" s="3"/>
      <c r="I24" s="3" t="str">
        <f>IF(AND(G24&lt;&gt;"",H24&lt;&gt;""),H24/G24,"")</f>
        <v/>
      </c>
    </row>
    <row r="25" spans="1:9" x14ac:dyDescent="0.25">
      <c r="A25" s="11" t="s">
        <v>186</v>
      </c>
      <c r="B25" s="3"/>
      <c r="C25" s="3"/>
      <c r="D25" s="3"/>
      <c r="E25" s="3" t="str">
        <f>IF(AND(C25&lt;&gt;"",D25&lt;&gt;""),D25/C25,"")</f>
        <v/>
      </c>
      <c r="F25" s="13"/>
      <c r="G25" s="3"/>
      <c r="H25" s="3"/>
      <c r="I25" s="3" t="str">
        <f>IF(AND(G25&lt;&gt;"",H25&lt;&gt;""),H25/G25,"")</f>
        <v/>
      </c>
    </row>
    <row r="26" spans="1:9" x14ac:dyDescent="0.25">
      <c r="A26" s="14" t="s">
        <v>187</v>
      </c>
      <c r="B26" s="13"/>
      <c r="C26" s="13"/>
      <c r="D26" s="13"/>
      <c r="E26" s="13"/>
      <c r="F26" s="13"/>
      <c r="G26" s="13"/>
      <c r="H26" s="13"/>
      <c r="I26" s="13"/>
    </row>
    <row r="27" spans="1:9" x14ac:dyDescent="0.25">
      <c r="A27" s="11" t="s">
        <v>188</v>
      </c>
      <c r="B27" s="3"/>
      <c r="C27" s="3"/>
      <c r="D27" s="3"/>
      <c r="E27" s="3" t="str">
        <f>IF(AND(C27&lt;&gt;"",D27&lt;&gt;""),D27/C27,"")</f>
        <v/>
      </c>
      <c r="F27" s="13"/>
      <c r="G27" s="3"/>
      <c r="H27" s="3"/>
      <c r="I27" s="3" t="str">
        <f>IF(AND(G27&lt;&gt;"",H27&lt;&gt;""),H27/G27,"")</f>
        <v/>
      </c>
    </row>
    <row r="28" spans="1:9" x14ac:dyDescent="0.25">
      <c r="A28" s="11" t="s">
        <v>189</v>
      </c>
      <c r="B28" s="3"/>
      <c r="C28" s="3"/>
      <c r="D28" s="3"/>
      <c r="E28" s="3" t="str">
        <f>IF(AND(C28&lt;&gt;"",D28&lt;&gt;""),D28/C28,"")</f>
        <v/>
      </c>
      <c r="F28" s="13"/>
      <c r="G28" s="3"/>
      <c r="H28" s="3"/>
      <c r="I28" s="3" t="str">
        <f>IF(AND(G28&lt;&gt;"",H28&lt;&gt;""),H28/G28,"")</f>
        <v/>
      </c>
    </row>
    <row r="29" spans="1:9" x14ac:dyDescent="0.25">
      <c r="A29" s="11" t="s">
        <v>190</v>
      </c>
      <c r="B29" s="3"/>
      <c r="C29" s="3"/>
      <c r="D29" s="3"/>
      <c r="E29" s="3" t="str">
        <f>IF(AND(C29&lt;&gt;"",D29&lt;&gt;""),D29/C29,"")</f>
        <v/>
      </c>
      <c r="F29" s="13"/>
      <c r="G29" s="3"/>
      <c r="H29" s="3"/>
      <c r="I29" s="3" t="str">
        <f>IF(AND(G29&lt;&gt;"",H29&lt;&gt;""),H29/G29,"")</f>
        <v/>
      </c>
    </row>
    <row r="30" spans="1:9" x14ac:dyDescent="0.25">
      <c r="A30" s="11" t="s">
        <v>191</v>
      </c>
      <c r="B30" s="3"/>
      <c r="C30" s="3"/>
      <c r="D30" s="3"/>
      <c r="E30" s="3" t="str">
        <f>IF(AND(C30&lt;&gt;"",D30&lt;&gt;""),D30/C30,"")</f>
        <v/>
      </c>
      <c r="F30" s="13"/>
      <c r="G30" s="3"/>
      <c r="H30" s="3"/>
      <c r="I30" s="3" t="str">
        <f>IF(AND(G30&lt;&gt;"",H30&lt;&gt;""),H30/G30,"")</f>
        <v/>
      </c>
    </row>
    <row r="31" spans="1:9" x14ac:dyDescent="0.25">
      <c r="A31" s="14" t="s">
        <v>192</v>
      </c>
      <c r="B31" s="13"/>
      <c r="C31" s="13"/>
      <c r="D31" s="13"/>
      <c r="E31" s="13"/>
      <c r="F31" s="13"/>
      <c r="G31" s="13"/>
      <c r="H31" s="13"/>
      <c r="I31" s="13"/>
    </row>
    <row r="32" spans="1:9" x14ac:dyDescent="0.25">
      <c r="A32" s="11" t="s">
        <v>193</v>
      </c>
      <c r="B32" s="3"/>
      <c r="C32" s="3"/>
      <c r="D32" s="3"/>
      <c r="E32" s="3" t="str">
        <f>IF(AND(C32&lt;&gt;"",D32&lt;&gt;""),D32/C32,"")</f>
        <v/>
      </c>
      <c r="F32" s="13"/>
      <c r="G32" s="3"/>
      <c r="H32" s="3"/>
      <c r="I32" s="3" t="str">
        <f>IF(AND(G32&lt;&gt;"",H32&lt;&gt;""),H32/G32,"")</f>
        <v/>
      </c>
    </row>
    <row r="33" spans="1:9" x14ac:dyDescent="0.25">
      <c r="A33" s="11" t="s">
        <v>194</v>
      </c>
      <c r="B33" s="3"/>
      <c r="C33" s="3"/>
      <c r="D33" s="3"/>
      <c r="E33" s="3" t="str">
        <f>IF(AND(C33&lt;&gt;"",D33&lt;&gt;""),D33/C33,"")</f>
        <v/>
      </c>
      <c r="F33" s="13"/>
      <c r="G33" s="3"/>
      <c r="H33" s="3"/>
      <c r="I33" s="3" t="str">
        <f>IF(AND(G33&lt;&gt;"",H33&lt;&gt;""),H33/G33,"")</f>
        <v/>
      </c>
    </row>
    <row r="34" spans="1:9" x14ac:dyDescent="0.25">
      <c r="A34" s="11" t="s">
        <v>195</v>
      </c>
      <c r="B34" s="3"/>
      <c r="C34" s="3"/>
      <c r="D34" s="3"/>
      <c r="E34" s="3" t="str">
        <f>IF(AND(C34&lt;&gt;"",D34&lt;&gt;""),D34/C34,"")</f>
        <v/>
      </c>
      <c r="F34" s="13"/>
      <c r="G34" s="3"/>
      <c r="H34" s="3"/>
      <c r="I34" s="3" t="str">
        <f>IF(AND(G34&lt;&gt;"",H34&lt;&gt;""),H34/G34,"")</f>
        <v/>
      </c>
    </row>
    <row r="35" spans="1:9" x14ac:dyDescent="0.25">
      <c r="A35" s="11" t="s">
        <v>196</v>
      </c>
      <c r="B35" s="3"/>
      <c r="C35" s="3"/>
      <c r="D35" s="3"/>
      <c r="E35" s="3" t="str">
        <f>IF(AND(C35&lt;&gt;"",D35&lt;&gt;""),D35/C35,"")</f>
        <v/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1" t="s">
        <v>197</v>
      </c>
      <c r="B36" s="3"/>
      <c r="C36" s="3"/>
      <c r="D36" s="3"/>
      <c r="E36" s="3" t="str">
        <f>IF(AND(C36&lt;&gt;"",D36&lt;&gt;""),D36/C36,"")</f>
        <v/>
      </c>
      <c r="F36" s="13"/>
      <c r="G36" s="3"/>
      <c r="H36" s="3"/>
      <c r="I36" s="3" t="str">
        <f>IF(AND(G36&lt;&gt;"",H36&lt;&gt;""),H36/G36,"")</f>
        <v/>
      </c>
    </row>
    <row r="37" spans="1:9" x14ac:dyDescent="0.25">
      <c r="A37" s="14" t="s">
        <v>198</v>
      </c>
      <c r="B37" s="13"/>
      <c r="C37" s="13"/>
      <c r="D37" s="13"/>
      <c r="E37" s="13"/>
      <c r="F37" s="13"/>
      <c r="G37" s="13"/>
      <c r="H37" s="13"/>
      <c r="I37" s="13"/>
    </row>
    <row r="38" spans="1:9" x14ac:dyDescent="0.25">
      <c r="A38" s="11" t="s">
        <v>199</v>
      </c>
      <c r="B38" s="3"/>
      <c r="C38" s="3"/>
      <c r="D38" s="3"/>
      <c r="E38" s="3" t="str">
        <f t="shared" ref="E38:E44" si="0">IF(AND(C38&lt;&gt;"",D38&lt;&gt;""),D38/C38,"")</f>
        <v/>
      </c>
      <c r="F38" s="13"/>
      <c r="G38" s="3"/>
      <c r="H38" s="3"/>
      <c r="I38" s="3" t="str">
        <f t="shared" ref="I38:I44" si="1">IF(AND(G38&lt;&gt;"",H38&lt;&gt;""),H38/G38,"")</f>
        <v/>
      </c>
    </row>
    <row r="39" spans="1:9" x14ac:dyDescent="0.25">
      <c r="A39" s="11" t="s">
        <v>200</v>
      </c>
      <c r="B39" s="3"/>
      <c r="C39" s="3"/>
      <c r="D39" s="3"/>
      <c r="E39" s="3" t="str">
        <f t="shared" si="0"/>
        <v/>
      </c>
      <c r="F39" s="13"/>
      <c r="G39" s="3"/>
      <c r="H39" s="3"/>
      <c r="I39" s="3" t="str">
        <f t="shared" si="1"/>
        <v/>
      </c>
    </row>
    <row r="40" spans="1:9" x14ac:dyDescent="0.25">
      <c r="A40" s="11" t="s">
        <v>201</v>
      </c>
      <c r="B40" s="3"/>
      <c r="C40" s="3"/>
      <c r="D40" s="3"/>
      <c r="E40" s="3" t="str">
        <f t="shared" si="0"/>
        <v/>
      </c>
      <c r="F40" s="13"/>
      <c r="G40" s="3"/>
      <c r="H40" s="3"/>
      <c r="I40" s="3" t="str">
        <f t="shared" si="1"/>
        <v/>
      </c>
    </row>
    <row r="41" spans="1:9" x14ac:dyDescent="0.25">
      <c r="A41" s="11" t="s">
        <v>202</v>
      </c>
      <c r="B41" s="3"/>
      <c r="C41" s="3"/>
      <c r="D41" s="3"/>
      <c r="E41" s="3" t="str">
        <f t="shared" si="0"/>
        <v/>
      </c>
      <c r="F41" s="13"/>
      <c r="G41" s="3"/>
      <c r="H41" s="3"/>
      <c r="I41" s="3" t="str">
        <f t="shared" si="1"/>
        <v/>
      </c>
    </row>
    <row r="42" spans="1:9" x14ac:dyDescent="0.25">
      <c r="A42" s="11" t="s">
        <v>203</v>
      </c>
      <c r="B42" s="3"/>
      <c r="C42" s="3"/>
      <c r="D42" s="3"/>
      <c r="E42" s="3" t="str">
        <f t="shared" si="0"/>
        <v/>
      </c>
      <c r="F42" s="13"/>
      <c r="G42" s="3"/>
      <c r="H42" s="3"/>
      <c r="I42" s="3" t="str">
        <f t="shared" si="1"/>
        <v/>
      </c>
    </row>
    <row r="43" spans="1:9" x14ac:dyDescent="0.25">
      <c r="A43" s="11" t="s">
        <v>204</v>
      </c>
      <c r="B43" s="3"/>
      <c r="C43" s="3"/>
      <c r="D43" s="3"/>
      <c r="E43" s="3" t="str">
        <f t="shared" si="0"/>
        <v/>
      </c>
      <c r="F43" s="13"/>
      <c r="G43" s="3"/>
      <c r="H43" s="3"/>
      <c r="I43" s="3" t="str">
        <f t="shared" si="1"/>
        <v/>
      </c>
    </row>
    <row r="44" spans="1:9" x14ac:dyDescent="0.25">
      <c r="A44" s="11" t="s">
        <v>205</v>
      </c>
      <c r="B44" s="3"/>
      <c r="C44" s="3"/>
      <c r="D44" s="3"/>
      <c r="E44" s="3" t="str">
        <f t="shared" si="0"/>
        <v/>
      </c>
      <c r="F44" s="13"/>
      <c r="G44" s="3"/>
      <c r="H44" s="3"/>
      <c r="I44" s="3" t="str">
        <f t="shared" si="1"/>
        <v/>
      </c>
    </row>
    <row r="45" spans="1:9" x14ac:dyDescent="0.25">
      <c r="A45" s="12" t="s">
        <v>126</v>
      </c>
      <c r="B45" s="12"/>
      <c r="C45" s="12">
        <f>SUM(C5:C44)</f>
        <v>0</v>
      </c>
      <c r="D45" s="12">
        <f>SUM(D5:D44)</f>
        <v>0</v>
      </c>
      <c r="E45" s="12" t="str">
        <f>IF(C45&gt;0, D45/C45,"")</f>
        <v/>
      </c>
      <c r="F45" s="12"/>
      <c r="G45" s="12">
        <f>SUM(G5:G44)</f>
        <v>0</v>
      </c>
      <c r="H45" s="12">
        <f>SUM(H5:H44)</f>
        <v>0</v>
      </c>
      <c r="I45" s="12" t="str">
        <f>IF(G45&gt;0, H45/G45,"")</f>
        <v/>
      </c>
    </row>
    <row r="47" spans="1:9" x14ac:dyDescent="0.25">
      <c r="A47" s="8" t="s">
        <v>127</v>
      </c>
      <c r="B47" s="8"/>
      <c r="C47" s="8">
        <f>C45+G45</f>
        <v>0</v>
      </c>
      <c r="D47" s="8">
        <f>D45+H45</f>
        <v>0</v>
      </c>
      <c r="E47" s="8" t="str">
        <f>IF(C47&gt;0, D47/C47,"")</f>
        <v/>
      </c>
      <c r="F47" s="8"/>
      <c r="G47" s="8"/>
      <c r="H47" s="8"/>
      <c r="I47" s="8"/>
    </row>
    <row r="50" spans="1:3" x14ac:dyDescent="0.25">
      <c r="A50" s="9" t="s">
        <v>100</v>
      </c>
      <c r="B50" s="9" t="s">
        <v>128</v>
      </c>
      <c r="C50" s="9" t="s">
        <v>129</v>
      </c>
    </row>
    <row r="51" spans="1:3" x14ac:dyDescent="0.25">
      <c r="A51" t="s">
        <v>167</v>
      </c>
      <c r="B51" t="str">
        <f>E6</f>
        <v/>
      </c>
      <c r="C51" t="str">
        <f>I6</f>
        <v/>
      </c>
    </row>
    <row r="52" spans="1:3" x14ac:dyDescent="0.25">
      <c r="A52" t="s">
        <v>168</v>
      </c>
      <c r="B52" t="str">
        <f>E7</f>
        <v/>
      </c>
      <c r="C52" t="str">
        <f>I7</f>
        <v/>
      </c>
    </row>
    <row r="53" spans="1:3" x14ac:dyDescent="0.25">
      <c r="A53" t="s">
        <v>170</v>
      </c>
      <c r="B53" t="str">
        <f>E9</f>
        <v/>
      </c>
      <c r="C53" t="str">
        <f>I9</f>
        <v/>
      </c>
    </row>
    <row r="54" spans="1:3" x14ac:dyDescent="0.25">
      <c r="A54" t="s">
        <v>171</v>
      </c>
      <c r="B54" t="str">
        <f>E10</f>
        <v/>
      </c>
      <c r="C54" t="str">
        <f>I10</f>
        <v/>
      </c>
    </row>
    <row r="55" spans="1:3" x14ac:dyDescent="0.25">
      <c r="A55" t="s">
        <v>172</v>
      </c>
      <c r="B55" t="str">
        <f>E11</f>
        <v/>
      </c>
      <c r="C55" t="str">
        <f>I11</f>
        <v/>
      </c>
    </row>
    <row r="56" spans="1:3" x14ac:dyDescent="0.25">
      <c r="A56" t="s">
        <v>174</v>
      </c>
      <c r="B56" t="str">
        <f>E13</f>
        <v/>
      </c>
      <c r="C56" t="str">
        <f>I13</f>
        <v/>
      </c>
    </row>
    <row r="57" spans="1:3" x14ac:dyDescent="0.25">
      <c r="A57" t="s">
        <v>175</v>
      </c>
      <c r="B57" t="str">
        <f>E14</f>
        <v/>
      </c>
      <c r="C57" t="str">
        <f>I14</f>
        <v/>
      </c>
    </row>
    <row r="58" spans="1:3" x14ac:dyDescent="0.25">
      <c r="A58" t="s">
        <v>176</v>
      </c>
      <c r="B58" t="str">
        <f>E15</f>
        <v/>
      </c>
      <c r="C58" t="str">
        <f>I15</f>
        <v/>
      </c>
    </row>
    <row r="59" spans="1:3" x14ac:dyDescent="0.25">
      <c r="A59" t="s">
        <v>177</v>
      </c>
      <c r="B59" t="str">
        <f>E16</f>
        <v/>
      </c>
      <c r="C59" t="str">
        <f>I16</f>
        <v/>
      </c>
    </row>
    <row r="60" spans="1:3" x14ac:dyDescent="0.25">
      <c r="A60" t="s">
        <v>179</v>
      </c>
      <c r="B60" t="str">
        <f>E18</f>
        <v/>
      </c>
      <c r="C60" t="str">
        <f>I18</f>
        <v/>
      </c>
    </row>
    <row r="61" spans="1:3" x14ac:dyDescent="0.25">
      <c r="A61" t="s">
        <v>180</v>
      </c>
      <c r="B61" t="str">
        <f>E19</f>
        <v/>
      </c>
      <c r="C61" t="str">
        <f>I19</f>
        <v/>
      </c>
    </row>
    <row r="62" spans="1:3" x14ac:dyDescent="0.25">
      <c r="A62" t="s">
        <v>182</v>
      </c>
      <c r="B62" t="str">
        <f>E21</f>
        <v/>
      </c>
      <c r="C62" t="str">
        <f>I21</f>
        <v/>
      </c>
    </row>
    <row r="63" spans="1:3" x14ac:dyDescent="0.25">
      <c r="A63" t="s">
        <v>183</v>
      </c>
      <c r="B63" t="str">
        <f>E22</f>
        <v/>
      </c>
      <c r="C63" t="str">
        <f>I22</f>
        <v/>
      </c>
    </row>
    <row r="64" spans="1:3" x14ac:dyDescent="0.25">
      <c r="A64" t="s">
        <v>184</v>
      </c>
      <c r="B64" t="str">
        <f>E23</f>
        <v/>
      </c>
      <c r="C64" t="str">
        <f>I23</f>
        <v/>
      </c>
    </row>
    <row r="65" spans="1:3" x14ac:dyDescent="0.25">
      <c r="A65" t="s">
        <v>185</v>
      </c>
      <c r="B65" t="str">
        <f>E24</f>
        <v/>
      </c>
      <c r="C65" t="str">
        <f>I24</f>
        <v/>
      </c>
    </row>
    <row r="66" spans="1:3" x14ac:dyDescent="0.25">
      <c r="A66" t="s">
        <v>186</v>
      </c>
      <c r="B66" t="str">
        <f>E25</f>
        <v/>
      </c>
      <c r="C66" t="str">
        <f>I25</f>
        <v/>
      </c>
    </row>
    <row r="67" spans="1:3" x14ac:dyDescent="0.25">
      <c r="A67" t="s">
        <v>188</v>
      </c>
      <c r="B67" t="str">
        <f>E27</f>
        <v/>
      </c>
      <c r="C67" t="str">
        <f>I27</f>
        <v/>
      </c>
    </row>
    <row r="68" spans="1:3" x14ac:dyDescent="0.25">
      <c r="A68" t="s">
        <v>189</v>
      </c>
      <c r="B68" t="str">
        <f>E28</f>
        <v/>
      </c>
      <c r="C68" t="str">
        <f>I28</f>
        <v/>
      </c>
    </row>
    <row r="69" spans="1:3" x14ac:dyDescent="0.25">
      <c r="A69" t="s">
        <v>190</v>
      </c>
      <c r="B69" t="str">
        <f>E29</f>
        <v/>
      </c>
      <c r="C69" t="str">
        <f>I29</f>
        <v/>
      </c>
    </row>
    <row r="70" spans="1:3" x14ac:dyDescent="0.25">
      <c r="A70" t="s">
        <v>191</v>
      </c>
      <c r="B70" t="str">
        <f>E30</f>
        <v/>
      </c>
      <c r="C70" t="str">
        <f>I30</f>
        <v/>
      </c>
    </row>
    <row r="71" spans="1:3" x14ac:dyDescent="0.25">
      <c r="A71" t="s">
        <v>193</v>
      </c>
      <c r="B71" t="str">
        <f>E32</f>
        <v/>
      </c>
      <c r="C71" t="str">
        <f>I32</f>
        <v/>
      </c>
    </row>
    <row r="72" spans="1:3" x14ac:dyDescent="0.25">
      <c r="A72" t="s">
        <v>194</v>
      </c>
      <c r="B72" t="str">
        <f>E33</f>
        <v/>
      </c>
      <c r="C72" t="str">
        <f>I33</f>
        <v/>
      </c>
    </row>
    <row r="73" spans="1:3" x14ac:dyDescent="0.25">
      <c r="A73" t="s">
        <v>195</v>
      </c>
      <c r="B73" t="str">
        <f>E34</f>
        <v/>
      </c>
      <c r="C73" t="str">
        <f>I34</f>
        <v/>
      </c>
    </row>
    <row r="74" spans="1:3" x14ac:dyDescent="0.25">
      <c r="A74" t="s">
        <v>196</v>
      </c>
      <c r="B74" t="str">
        <f>E35</f>
        <v/>
      </c>
      <c r="C74" t="str">
        <f>I35</f>
        <v/>
      </c>
    </row>
    <row r="75" spans="1:3" x14ac:dyDescent="0.25">
      <c r="A75" t="s">
        <v>197</v>
      </c>
      <c r="B75" t="str">
        <f>E36</f>
        <v/>
      </c>
      <c r="C75" t="str">
        <f>I36</f>
        <v/>
      </c>
    </row>
    <row r="76" spans="1:3" x14ac:dyDescent="0.25">
      <c r="A76" t="s">
        <v>199</v>
      </c>
      <c r="B76" t="str">
        <f t="shared" ref="B76:B82" si="2">E38</f>
        <v/>
      </c>
      <c r="C76" t="str">
        <f t="shared" ref="C76:C82" si="3">I38</f>
        <v/>
      </c>
    </row>
    <row r="77" spans="1:3" x14ac:dyDescent="0.25">
      <c r="A77" t="s">
        <v>200</v>
      </c>
      <c r="B77" t="str">
        <f t="shared" si="2"/>
        <v/>
      </c>
      <c r="C77" t="str">
        <f t="shared" si="3"/>
        <v/>
      </c>
    </row>
    <row r="78" spans="1:3" x14ac:dyDescent="0.25">
      <c r="A78" t="s">
        <v>201</v>
      </c>
      <c r="B78" t="str">
        <f t="shared" si="2"/>
        <v/>
      </c>
      <c r="C78" t="str">
        <f t="shared" si="3"/>
        <v/>
      </c>
    </row>
    <row r="79" spans="1:3" x14ac:dyDescent="0.25">
      <c r="A79" t="s">
        <v>202</v>
      </c>
      <c r="B79" t="str">
        <f t="shared" si="2"/>
        <v/>
      </c>
      <c r="C79" t="str">
        <f t="shared" si="3"/>
        <v/>
      </c>
    </row>
    <row r="80" spans="1:3" x14ac:dyDescent="0.25">
      <c r="A80" t="s">
        <v>203</v>
      </c>
      <c r="B80" t="str">
        <f t="shared" si="2"/>
        <v/>
      </c>
      <c r="C80" t="str">
        <f t="shared" si="3"/>
        <v/>
      </c>
    </row>
    <row r="81" spans="1:3" x14ac:dyDescent="0.25">
      <c r="A81" t="s">
        <v>204</v>
      </c>
      <c r="B81" t="str">
        <f t="shared" si="2"/>
        <v/>
      </c>
      <c r="C81" t="str">
        <f t="shared" si="3"/>
        <v/>
      </c>
    </row>
    <row r="82" spans="1:3" x14ac:dyDescent="0.25">
      <c r="A82" t="s">
        <v>205</v>
      </c>
      <c r="B82" t="str">
        <f t="shared" si="2"/>
        <v/>
      </c>
      <c r="C82" t="str">
        <f t="shared" si="3"/>
        <v/>
      </c>
    </row>
  </sheetData>
  <mergeCells count="3">
    <mergeCell ref="G3:I3"/>
    <mergeCell ref="A1:I1"/>
    <mergeCell ref="A3:E3"/>
  </mergeCells>
  <phoneticPr fontId="10" type="noConversion"/>
  <conditionalFormatting sqref="E6:E7">
    <cfRule type="cellIs" dxfId="95" priority="1" operator="greaterThanOrEqual">
      <formula>0.9</formula>
    </cfRule>
    <cfRule type="cellIs" dxfId="94" priority="2" operator="between">
      <formula>0.8</formula>
      <formula>0.9</formula>
    </cfRule>
    <cfRule type="cellIs" dxfId="93" priority="3" operator="lessThan">
      <formula>0.8</formula>
    </cfRule>
  </conditionalFormatting>
  <conditionalFormatting sqref="E9:E11">
    <cfRule type="cellIs" dxfId="92" priority="7" operator="greaterThanOrEqual">
      <formula>0.9</formula>
    </cfRule>
    <cfRule type="cellIs" dxfId="91" priority="8" operator="between">
      <formula>0.8</formula>
      <formula>0.9</formula>
    </cfRule>
    <cfRule type="cellIs" dxfId="90" priority="9" operator="lessThan">
      <formula>0.8</formula>
    </cfRule>
  </conditionalFormatting>
  <conditionalFormatting sqref="E13:E16">
    <cfRule type="cellIs" dxfId="89" priority="16" operator="greaterThanOrEqual">
      <formula>0.9</formula>
    </cfRule>
    <cfRule type="cellIs" dxfId="88" priority="17" operator="between">
      <formula>0.8</formula>
      <formula>0.9</formula>
    </cfRule>
    <cfRule type="cellIs" dxfId="87" priority="18" operator="lessThan">
      <formula>0.8</formula>
    </cfRule>
  </conditionalFormatting>
  <conditionalFormatting sqref="E18:E19">
    <cfRule type="cellIs" dxfId="86" priority="28" operator="greaterThanOrEqual">
      <formula>0.9</formula>
    </cfRule>
    <cfRule type="cellIs" dxfId="85" priority="29" operator="between">
      <formula>0.8</formula>
      <formula>0.9</formula>
    </cfRule>
    <cfRule type="cellIs" dxfId="84" priority="30" operator="lessThan">
      <formula>0.8</formula>
    </cfRule>
  </conditionalFormatting>
  <conditionalFormatting sqref="E21:E25">
    <cfRule type="cellIs" dxfId="83" priority="34" operator="greaterThanOrEqual">
      <formula>0.9</formula>
    </cfRule>
    <cfRule type="cellIs" dxfId="82" priority="35" operator="between">
      <formula>0.8</formula>
      <formula>0.9</formula>
    </cfRule>
    <cfRule type="cellIs" dxfId="81" priority="36" operator="lessThan">
      <formula>0.8</formula>
    </cfRule>
  </conditionalFormatting>
  <conditionalFormatting sqref="E27:E30">
    <cfRule type="cellIs" dxfId="80" priority="49" operator="greaterThanOrEqual">
      <formula>0.9</formula>
    </cfRule>
    <cfRule type="cellIs" dxfId="79" priority="50" operator="between">
      <formula>0.8</formula>
      <formula>0.9</formula>
    </cfRule>
    <cfRule type="cellIs" dxfId="78" priority="51" operator="lessThan">
      <formula>0.8</formula>
    </cfRule>
  </conditionalFormatting>
  <conditionalFormatting sqref="E32:E36">
    <cfRule type="cellIs" dxfId="77" priority="61" operator="greaterThanOrEqual">
      <formula>0.9</formula>
    </cfRule>
    <cfRule type="cellIs" dxfId="76" priority="62" operator="between">
      <formula>0.8</formula>
      <formula>0.9</formula>
    </cfRule>
    <cfRule type="cellIs" dxfId="75" priority="63" operator="lessThan">
      <formula>0.8</formula>
    </cfRule>
  </conditionalFormatting>
  <conditionalFormatting sqref="E38:E45">
    <cfRule type="cellIs" dxfId="74" priority="76" operator="greaterThanOrEqual">
      <formula>0.9</formula>
    </cfRule>
    <cfRule type="cellIs" dxfId="73" priority="77" operator="between">
      <formula>0.8</formula>
      <formula>0.9</formula>
    </cfRule>
    <cfRule type="cellIs" dxfId="72" priority="78" operator="lessThan">
      <formula>0.8</formula>
    </cfRule>
  </conditionalFormatting>
  <conditionalFormatting sqref="E47">
    <cfRule type="cellIs" dxfId="71" priority="100" operator="greaterThanOrEqual">
      <formula>0.9</formula>
    </cfRule>
    <cfRule type="cellIs" dxfId="70" priority="101" operator="between">
      <formula>0.8</formula>
      <formula>0.9</formula>
    </cfRule>
    <cfRule type="cellIs" dxfId="69" priority="102" operator="lessThan">
      <formula>0.8</formula>
    </cfRule>
  </conditionalFormatting>
  <conditionalFormatting sqref="I6:I7">
    <cfRule type="cellIs" dxfId="68" priority="103" operator="greaterThanOrEqual">
      <formula>0.9</formula>
    </cfRule>
    <cfRule type="cellIs" dxfId="67" priority="104" operator="between">
      <formula>0.8</formula>
      <formula>0.9</formula>
    </cfRule>
    <cfRule type="cellIs" dxfId="66" priority="105" operator="lessThan">
      <formula>0.8</formula>
    </cfRule>
  </conditionalFormatting>
  <conditionalFormatting sqref="I9:I11">
    <cfRule type="cellIs" dxfId="65" priority="109" operator="greaterThanOrEqual">
      <formula>0.9</formula>
    </cfRule>
    <cfRule type="cellIs" dxfId="64" priority="110" operator="between">
      <formula>0.8</formula>
      <formula>0.9</formula>
    </cfRule>
    <cfRule type="cellIs" dxfId="63" priority="111" operator="lessThan">
      <formula>0.8</formula>
    </cfRule>
  </conditionalFormatting>
  <conditionalFormatting sqref="I13:I16">
    <cfRule type="cellIs" dxfId="62" priority="118" operator="greaterThanOrEqual">
      <formula>0.9</formula>
    </cfRule>
    <cfRule type="cellIs" dxfId="61" priority="119" operator="between">
      <formula>0.8</formula>
      <formula>0.9</formula>
    </cfRule>
    <cfRule type="cellIs" dxfId="60" priority="120" operator="lessThan">
      <formula>0.8</formula>
    </cfRule>
  </conditionalFormatting>
  <conditionalFormatting sqref="I18:I19">
    <cfRule type="cellIs" dxfId="59" priority="130" operator="greaterThanOrEqual">
      <formula>0.9</formula>
    </cfRule>
    <cfRule type="cellIs" dxfId="58" priority="131" operator="between">
      <formula>0.8</formula>
      <formula>0.9</formula>
    </cfRule>
    <cfRule type="cellIs" dxfId="57" priority="132" operator="lessThan">
      <formula>0.8</formula>
    </cfRule>
  </conditionalFormatting>
  <conditionalFormatting sqref="I21:I25">
    <cfRule type="cellIs" dxfId="56" priority="136" operator="greaterThanOrEqual">
      <formula>0.9</formula>
    </cfRule>
    <cfRule type="cellIs" dxfId="55" priority="137" operator="between">
      <formula>0.8</formula>
      <formula>0.9</formula>
    </cfRule>
    <cfRule type="cellIs" dxfId="54" priority="138" operator="lessThan">
      <formula>0.8</formula>
    </cfRule>
  </conditionalFormatting>
  <conditionalFormatting sqref="I27:I30">
    <cfRule type="cellIs" dxfId="53" priority="151" operator="greaterThanOrEqual">
      <formula>0.9</formula>
    </cfRule>
    <cfRule type="cellIs" dxfId="52" priority="152" operator="between">
      <formula>0.8</formula>
      <formula>0.9</formula>
    </cfRule>
    <cfRule type="cellIs" dxfId="51" priority="153" operator="lessThan">
      <formula>0.8</formula>
    </cfRule>
  </conditionalFormatting>
  <conditionalFormatting sqref="I32:I36">
    <cfRule type="cellIs" dxfId="50" priority="163" operator="greaterThanOrEqual">
      <formula>0.9</formula>
    </cfRule>
    <cfRule type="cellIs" dxfId="49" priority="164" operator="between">
      <formula>0.8</formula>
      <formula>0.9</formula>
    </cfRule>
    <cfRule type="cellIs" dxfId="48" priority="165" operator="lessThan">
      <formula>0.8</formula>
    </cfRule>
  </conditionalFormatting>
  <conditionalFormatting sqref="I38:I45">
    <cfRule type="cellIs" dxfId="47" priority="178" operator="greaterThanOrEqual">
      <formula>0.9</formula>
    </cfRule>
    <cfRule type="cellIs" dxfId="46" priority="179" operator="between">
      <formula>0.8</formula>
      <formula>0.9</formula>
    </cfRule>
    <cfRule type="cellIs" dxfId="45" priority="180" operator="lessThan">
      <formula>0.8</formula>
    </cfRule>
  </conditionalFormatting>
  <conditionalFormatting sqref="I47">
    <cfRule type="cellIs" dxfId="44" priority="202" operator="greaterThanOrEqual">
      <formula>0.9</formula>
    </cfRule>
    <cfRule type="cellIs" dxfId="43" priority="203" operator="between">
      <formula>0.8</formula>
      <formula>0.9</formula>
    </cfRule>
    <cfRule type="cellIs" dxfId="42" priority="204" operator="lessThan">
      <formula>0.8</formula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20" t="s">
        <v>206</v>
      </c>
      <c r="B1" s="21"/>
      <c r="C1" s="21"/>
      <c r="D1" s="21"/>
      <c r="E1" s="21"/>
      <c r="F1" s="21"/>
      <c r="G1" s="21"/>
      <c r="H1" s="21"/>
      <c r="I1" s="21"/>
    </row>
    <row r="3" spans="1:9" x14ac:dyDescent="0.25">
      <c r="A3" s="22" t="s">
        <v>98</v>
      </c>
      <c r="B3" s="18"/>
      <c r="C3" s="18"/>
      <c r="D3" s="18"/>
      <c r="E3" s="19"/>
      <c r="F3" s="13"/>
      <c r="G3" s="17" t="s">
        <v>99</v>
      </c>
      <c r="H3" s="18"/>
      <c r="I3" s="19"/>
    </row>
    <row r="4" spans="1:9" x14ac:dyDescent="0.25">
      <c r="A4" s="1" t="s">
        <v>100</v>
      </c>
      <c r="B4" s="1" t="s">
        <v>26</v>
      </c>
      <c r="C4" s="1" t="s">
        <v>27</v>
      </c>
      <c r="D4" s="1" t="s">
        <v>4</v>
      </c>
      <c r="E4" s="1" t="s">
        <v>5</v>
      </c>
      <c r="F4" s="13"/>
      <c r="G4" s="1" t="s">
        <v>101</v>
      </c>
      <c r="H4" s="1" t="s">
        <v>102</v>
      </c>
      <c r="I4" s="1" t="s">
        <v>5</v>
      </c>
    </row>
    <row r="5" spans="1:9" x14ac:dyDescent="0.25">
      <c r="A5" s="14" t="s">
        <v>207</v>
      </c>
      <c r="B5" s="13"/>
      <c r="C5" s="13"/>
      <c r="D5" s="13"/>
      <c r="E5" s="13"/>
      <c r="F5" s="13"/>
      <c r="G5" s="13"/>
      <c r="H5" s="13"/>
      <c r="I5" s="13"/>
    </row>
    <row r="6" spans="1:9" x14ac:dyDescent="0.25">
      <c r="A6" s="11" t="s">
        <v>208</v>
      </c>
      <c r="B6" s="3"/>
      <c r="C6" s="3"/>
      <c r="D6" s="3"/>
      <c r="E6" s="3" t="str">
        <f>IF(AND(C6&lt;&gt;"",D6&lt;&gt;""),D6/C6,"")</f>
        <v/>
      </c>
      <c r="F6" s="13"/>
      <c r="G6" s="3"/>
      <c r="H6" s="3"/>
      <c r="I6" s="3" t="str">
        <f>IF(AND(G6&lt;&gt;"",H6&lt;&gt;""),H6/G6,"")</f>
        <v/>
      </c>
    </row>
    <row r="7" spans="1:9" x14ac:dyDescent="0.25">
      <c r="A7" s="11" t="s">
        <v>209</v>
      </c>
      <c r="B7" s="3"/>
      <c r="C7" s="3"/>
      <c r="D7" s="3"/>
      <c r="E7" s="3" t="str">
        <f>IF(AND(C7&lt;&gt;"",D7&lt;&gt;""),D7/C7,"")</f>
        <v/>
      </c>
      <c r="F7" s="13"/>
      <c r="G7" s="3"/>
      <c r="H7" s="3"/>
      <c r="I7" s="3" t="str">
        <f>IF(AND(G7&lt;&gt;"",H7&lt;&gt;""),H7/G7,"")</f>
        <v/>
      </c>
    </row>
    <row r="8" spans="1:9" x14ac:dyDescent="0.25">
      <c r="A8" s="14" t="s">
        <v>210</v>
      </c>
      <c r="B8" s="13"/>
      <c r="C8" s="13"/>
      <c r="D8" s="13"/>
      <c r="E8" s="13"/>
      <c r="F8" s="13"/>
      <c r="G8" s="13"/>
      <c r="H8" s="13"/>
      <c r="I8" s="13"/>
    </row>
    <row r="9" spans="1:9" x14ac:dyDescent="0.25">
      <c r="A9" s="11" t="s">
        <v>211</v>
      </c>
      <c r="B9" s="3"/>
      <c r="C9" s="3"/>
      <c r="D9" s="3"/>
      <c r="E9" s="3" t="str">
        <f>IF(AND(C9&lt;&gt;"",D9&lt;&gt;""),D9/C9,"")</f>
        <v/>
      </c>
      <c r="F9" s="13"/>
      <c r="G9" s="3"/>
      <c r="H9" s="3"/>
      <c r="I9" s="3" t="str">
        <f>IF(AND(G9&lt;&gt;"",H9&lt;&gt;""),H9/G9,"")</f>
        <v/>
      </c>
    </row>
    <row r="10" spans="1:9" x14ac:dyDescent="0.25">
      <c r="A10" s="11" t="s">
        <v>212</v>
      </c>
      <c r="B10" s="3"/>
      <c r="C10" s="3"/>
      <c r="D10" s="3"/>
      <c r="E10" s="3" t="str">
        <f>IF(AND(C10&lt;&gt;"",D10&lt;&gt;""),D10/C10,"")</f>
        <v/>
      </c>
      <c r="F10" s="13"/>
      <c r="G10" s="3"/>
      <c r="H10" s="3"/>
      <c r="I10" s="3" t="str">
        <f>IF(AND(G10&lt;&gt;"",H10&lt;&gt;""),H10/G10,"")</f>
        <v/>
      </c>
    </row>
    <row r="11" spans="1:9" x14ac:dyDescent="0.25">
      <c r="A11" s="11" t="s">
        <v>213</v>
      </c>
      <c r="B11" s="3"/>
      <c r="C11" s="3"/>
      <c r="D11" s="3"/>
      <c r="E11" s="3" t="str">
        <f>IF(AND(C11&lt;&gt;"",D11&lt;&gt;""),D11/C11,"")</f>
        <v/>
      </c>
      <c r="F11" s="13"/>
      <c r="G11" s="3"/>
      <c r="H11" s="3"/>
      <c r="I11" s="3" t="str">
        <f>IF(AND(G11&lt;&gt;"",H11&lt;&gt;""),H11/G11,"")</f>
        <v/>
      </c>
    </row>
    <row r="12" spans="1:9" x14ac:dyDescent="0.25">
      <c r="A12" s="14" t="s">
        <v>214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11" t="s">
        <v>215</v>
      </c>
      <c r="B13" s="3"/>
      <c r="C13" s="3"/>
      <c r="D13" s="3"/>
      <c r="E13" s="3" t="str">
        <f t="shared" ref="E13:E20" si="0">IF(AND(C13&lt;&gt;"",D13&lt;&gt;""),D13/C13,"")</f>
        <v/>
      </c>
      <c r="F13" s="13"/>
      <c r="G13" s="3"/>
      <c r="H13" s="3"/>
      <c r="I13" s="3" t="str">
        <f t="shared" ref="I13:I20" si="1">IF(AND(G13&lt;&gt;"",H13&lt;&gt;""),H13/G13,"")</f>
        <v/>
      </c>
    </row>
    <row r="14" spans="1:9" x14ac:dyDescent="0.25">
      <c r="A14" s="11" t="s">
        <v>216</v>
      </c>
      <c r="B14" s="3"/>
      <c r="C14" s="3"/>
      <c r="D14" s="3"/>
      <c r="E14" s="3" t="str">
        <f t="shared" si="0"/>
        <v/>
      </c>
      <c r="F14" s="13"/>
      <c r="G14" s="3"/>
      <c r="H14" s="3"/>
      <c r="I14" s="3" t="str">
        <f t="shared" si="1"/>
        <v/>
      </c>
    </row>
    <row r="15" spans="1:9" x14ac:dyDescent="0.25">
      <c r="A15" s="11" t="s">
        <v>217</v>
      </c>
      <c r="B15" s="3"/>
      <c r="C15" s="3"/>
      <c r="D15" s="3"/>
      <c r="E15" s="3" t="str">
        <f t="shared" si="0"/>
        <v/>
      </c>
      <c r="F15" s="13"/>
      <c r="G15" s="3"/>
      <c r="H15" s="3"/>
      <c r="I15" s="3" t="str">
        <f t="shared" si="1"/>
        <v/>
      </c>
    </row>
    <row r="16" spans="1:9" x14ac:dyDescent="0.25">
      <c r="A16" s="11" t="s">
        <v>218</v>
      </c>
      <c r="B16" s="3"/>
      <c r="C16" s="3"/>
      <c r="D16" s="3"/>
      <c r="E16" s="3" t="str">
        <f t="shared" si="0"/>
        <v/>
      </c>
      <c r="F16" s="13"/>
      <c r="G16" s="3"/>
      <c r="H16" s="3"/>
      <c r="I16" s="3" t="str">
        <f t="shared" si="1"/>
        <v/>
      </c>
    </row>
    <row r="17" spans="1:9" x14ac:dyDescent="0.25">
      <c r="A17" s="11" t="s">
        <v>219</v>
      </c>
      <c r="B17" s="3"/>
      <c r="C17" s="3"/>
      <c r="D17" s="3"/>
      <c r="E17" s="3" t="str">
        <f t="shared" si="0"/>
        <v/>
      </c>
      <c r="F17" s="13"/>
      <c r="G17" s="3"/>
      <c r="H17" s="3"/>
      <c r="I17" s="3" t="str">
        <f t="shared" si="1"/>
        <v/>
      </c>
    </row>
    <row r="18" spans="1:9" x14ac:dyDescent="0.25">
      <c r="A18" s="11" t="s">
        <v>220</v>
      </c>
      <c r="B18" s="3"/>
      <c r="C18" s="3"/>
      <c r="D18" s="3"/>
      <c r="E18" s="3" t="str">
        <f t="shared" si="0"/>
        <v/>
      </c>
      <c r="F18" s="13"/>
      <c r="G18" s="3"/>
      <c r="H18" s="3"/>
      <c r="I18" s="3" t="str">
        <f t="shared" si="1"/>
        <v/>
      </c>
    </row>
    <row r="19" spans="1:9" x14ac:dyDescent="0.25">
      <c r="A19" s="11" t="s">
        <v>221</v>
      </c>
      <c r="B19" s="3"/>
      <c r="C19" s="3"/>
      <c r="D19" s="3"/>
      <c r="E19" s="3" t="str">
        <f t="shared" si="0"/>
        <v/>
      </c>
      <c r="F19" s="13"/>
      <c r="G19" s="3"/>
      <c r="H19" s="3"/>
      <c r="I19" s="3" t="str">
        <f t="shared" si="1"/>
        <v/>
      </c>
    </row>
    <row r="20" spans="1:9" x14ac:dyDescent="0.25">
      <c r="A20" s="11" t="s">
        <v>222</v>
      </c>
      <c r="B20" s="3"/>
      <c r="C20" s="3"/>
      <c r="D20" s="3"/>
      <c r="E20" s="3" t="str">
        <f t="shared" si="0"/>
        <v/>
      </c>
      <c r="F20" s="13"/>
      <c r="G20" s="3"/>
      <c r="H20" s="3"/>
      <c r="I20" s="3" t="str">
        <f t="shared" si="1"/>
        <v/>
      </c>
    </row>
    <row r="21" spans="1:9" x14ac:dyDescent="0.25">
      <c r="A21" s="14" t="s">
        <v>223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A22" s="11" t="s">
        <v>224</v>
      </c>
      <c r="B22" s="3"/>
      <c r="C22" s="3"/>
      <c r="D22" s="3"/>
      <c r="E22" s="3" t="str">
        <f t="shared" ref="E22:E28" si="2">IF(AND(C22&lt;&gt;"",D22&lt;&gt;""),D22/C22,"")</f>
        <v/>
      </c>
      <c r="F22" s="13"/>
      <c r="G22" s="3"/>
      <c r="H22" s="3"/>
      <c r="I22" s="3" t="str">
        <f t="shared" ref="I22:I28" si="3">IF(AND(G22&lt;&gt;"",H22&lt;&gt;""),H22/G22,"")</f>
        <v/>
      </c>
    </row>
    <row r="23" spans="1:9" x14ac:dyDescent="0.25">
      <c r="A23" s="11" t="s">
        <v>225</v>
      </c>
      <c r="B23" s="3"/>
      <c r="C23" s="3"/>
      <c r="D23" s="3"/>
      <c r="E23" s="3" t="str">
        <f t="shared" si="2"/>
        <v/>
      </c>
      <c r="F23" s="13"/>
      <c r="G23" s="3"/>
      <c r="H23" s="3"/>
      <c r="I23" s="3" t="str">
        <f t="shared" si="3"/>
        <v/>
      </c>
    </row>
    <row r="24" spans="1:9" x14ac:dyDescent="0.25">
      <c r="A24" s="11" t="s">
        <v>226</v>
      </c>
      <c r="B24" s="3"/>
      <c r="C24" s="3"/>
      <c r="D24" s="3"/>
      <c r="E24" s="3" t="str">
        <f t="shared" si="2"/>
        <v/>
      </c>
      <c r="F24" s="13"/>
      <c r="G24" s="3"/>
      <c r="H24" s="3"/>
      <c r="I24" s="3" t="str">
        <f t="shared" si="3"/>
        <v/>
      </c>
    </row>
    <row r="25" spans="1:9" x14ac:dyDescent="0.25">
      <c r="A25" s="11" t="s">
        <v>227</v>
      </c>
      <c r="B25" s="3"/>
      <c r="C25" s="3"/>
      <c r="D25" s="3"/>
      <c r="E25" s="3" t="str">
        <f t="shared" si="2"/>
        <v/>
      </c>
      <c r="F25" s="13"/>
      <c r="G25" s="3"/>
      <c r="H25" s="3"/>
      <c r="I25" s="3" t="str">
        <f t="shared" si="3"/>
        <v/>
      </c>
    </row>
    <row r="26" spans="1:9" x14ac:dyDescent="0.25">
      <c r="A26" s="11" t="s">
        <v>228</v>
      </c>
      <c r="B26" s="3"/>
      <c r="C26" s="3"/>
      <c r="D26" s="3"/>
      <c r="E26" s="3" t="str">
        <f t="shared" si="2"/>
        <v/>
      </c>
      <c r="F26" s="13"/>
      <c r="G26" s="3"/>
      <c r="H26" s="3"/>
      <c r="I26" s="3" t="str">
        <f t="shared" si="3"/>
        <v/>
      </c>
    </row>
    <row r="27" spans="1:9" x14ac:dyDescent="0.25">
      <c r="A27" s="11" t="s">
        <v>229</v>
      </c>
      <c r="B27" s="3"/>
      <c r="C27" s="3"/>
      <c r="D27" s="3"/>
      <c r="E27" s="3" t="str">
        <f t="shared" si="2"/>
        <v/>
      </c>
      <c r="F27" s="13"/>
      <c r="G27" s="3"/>
      <c r="H27" s="3"/>
      <c r="I27" s="3" t="str">
        <f t="shared" si="3"/>
        <v/>
      </c>
    </row>
    <row r="28" spans="1:9" x14ac:dyDescent="0.25">
      <c r="A28" s="11" t="s">
        <v>230</v>
      </c>
      <c r="B28" s="3"/>
      <c r="C28" s="3"/>
      <c r="D28" s="3"/>
      <c r="E28" s="3" t="str">
        <f t="shared" si="2"/>
        <v/>
      </c>
      <c r="F28" s="13"/>
      <c r="G28" s="3"/>
      <c r="H28" s="3"/>
      <c r="I28" s="3" t="str">
        <f t="shared" si="3"/>
        <v/>
      </c>
    </row>
    <row r="29" spans="1:9" x14ac:dyDescent="0.25">
      <c r="A29" s="14" t="s">
        <v>231</v>
      </c>
      <c r="B29" s="13"/>
      <c r="C29" s="13"/>
      <c r="D29" s="13"/>
      <c r="E29" s="13"/>
      <c r="F29" s="13"/>
      <c r="G29" s="13"/>
      <c r="H29" s="13"/>
      <c r="I29" s="13"/>
    </row>
    <row r="30" spans="1:9" x14ac:dyDescent="0.25">
      <c r="A30" s="11" t="s">
        <v>232</v>
      </c>
      <c r="B30" s="3"/>
      <c r="C30" s="3"/>
      <c r="D30" s="3"/>
      <c r="E30" s="3" t="str">
        <f>IF(AND(C30&lt;&gt;"",D30&lt;&gt;""),D30/C30,"")</f>
        <v/>
      </c>
      <c r="F30" s="13"/>
      <c r="G30" s="3"/>
      <c r="H30" s="3"/>
      <c r="I30" s="3" t="str">
        <f>IF(AND(G30&lt;&gt;"",H30&lt;&gt;""),H30/G30,"")</f>
        <v/>
      </c>
    </row>
    <row r="31" spans="1:9" x14ac:dyDescent="0.25">
      <c r="A31" s="11" t="s">
        <v>233</v>
      </c>
      <c r="B31" s="3"/>
      <c r="C31" s="3"/>
      <c r="D31" s="3"/>
      <c r="E31" s="3" t="str">
        <f>IF(AND(C31&lt;&gt;"",D31&lt;&gt;""),D31/C31,"")</f>
        <v/>
      </c>
      <c r="F31" s="13"/>
      <c r="G31" s="3"/>
      <c r="H31" s="3"/>
      <c r="I31" s="3" t="str">
        <f>IF(AND(G31&lt;&gt;"",H31&lt;&gt;""),H31/G31,"")</f>
        <v/>
      </c>
    </row>
    <row r="32" spans="1:9" x14ac:dyDescent="0.25">
      <c r="A32" s="11" t="s">
        <v>234</v>
      </c>
      <c r="B32" s="3"/>
      <c r="C32" s="3"/>
      <c r="D32" s="3"/>
      <c r="E32" s="3" t="str">
        <f>IF(AND(C32&lt;&gt;"",D32&lt;&gt;""),D32/C32,"")</f>
        <v/>
      </c>
      <c r="F32" s="13"/>
      <c r="G32" s="3"/>
      <c r="H32" s="3"/>
      <c r="I32" s="3" t="str">
        <f>IF(AND(G32&lt;&gt;"",H32&lt;&gt;""),H32/G32,"")</f>
        <v/>
      </c>
    </row>
    <row r="33" spans="1:9" x14ac:dyDescent="0.25">
      <c r="A33" s="14" t="s">
        <v>235</v>
      </c>
      <c r="B33" s="13"/>
      <c r="C33" s="13"/>
      <c r="D33" s="13"/>
      <c r="E33" s="13"/>
      <c r="F33" s="13"/>
      <c r="G33" s="13"/>
      <c r="H33" s="13"/>
      <c r="I33" s="13"/>
    </row>
    <row r="34" spans="1:9" x14ac:dyDescent="0.25">
      <c r="A34" s="11" t="s">
        <v>236</v>
      </c>
      <c r="B34" s="3"/>
      <c r="C34" s="3"/>
      <c r="D34" s="3"/>
      <c r="E34" s="3" t="str">
        <f>IF(AND(C34&lt;&gt;"",D34&lt;&gt;""),D34/C34,"")</f>
        <v/>
      </c>
      <c r="F34" s="13"/>
      <c r="G34" s="3"/>
      <c r="H34" s="3"/>
      <c r="I34" s="3" t="str">
        <f>IF(AND(G34&lt;&gt;"",H34&lt;&gt;""),H34/G34,"")</f>
        <v/>
      </c>
    </row>
    <row r="35" spans="1:9" x14ac:dyDescent="0.25">
      <c r="A35" s="11" t="s">
        <v>237</v>
      </c>
      <c r="B35" s="3"/>
      <c r="C35" s="3"/>
      <c r="D35" s="3"/>
      <c r="E35" s="3" t="str">
        <f>IF(AND(C35&lt;&gt;"",D35&lt;&gt;""),D35/C35,"")</f>
        <v/>
      </c>
      <c r="F35" s="13"/>
      <c r="G35" s="3"/>
      <c r="H35" s="3"/>
      <c r="I35" s="3" t="str">
        <f>IF(AND(G35&lt;&gt;"",H35&lt;&gt;""),H35/G35,"")</f>
        <v/>
      </c>
    </row>
    <row r="36" spans="1:9" x14ac:dyDescent="0.25">
      <c r="A36" s="11" t="s">
        <v>238</v>
      </c>
      <c r="B36" s="3"/>
      <c r="C36" s="3"/>
      <c r="D36" s="3"/>
      <c r="E36" s="3" t="str">
        <f>IF(AND(C36&lt;&gt;"",D36&lt;&gt;""),D36/C36,"")</f>
        <v/>
      </c>
      <c r="F36" s="13"/>
      <c r="G36" s="3"/>
      <c r="H36" s="3"/>
      <c r="I36" s="3" t="str">
        <f>IF(AND(G36&lt;&gt;"",H36&lt;&gt;""),H36/G36,"")</f>
        <v/>
      </c>
    </row>
    <row r="37" spans="1:9" x14ac:dyDescent="0.25">
      <c r="A37" s="11" t="s">
        <v>239</v>
      </c>
      <c r="B37" s="3"/>
      <c r="C37" s="3"/>
      <c r="D37" s="3"/>
      <c r="E37" s="3" t="str">
        <f>IF(AND(C37&lt;&gt;"",D37&lt;&gt;""),D37/C37,"")</f>
        <v/>
      </c>
      <c r="F37" s="13"/>
      <c r="G37" s="3"/>
      <c r="H37" s="3"/>
      <c r="I37" s="3" t="str">
        <f>IF(AND(G37&lt;&gt;"",H37&lt;&gt;""),H37/G37,"")</f>
        <v/>
      </c>
    </row>
    <row r="38" spans="1:9" x14ac:dyDescent="0.25">
      <c r="A38" s="11" t="s">
        <v>240</v>
      </c>
      <c r="B38" s="3"/>
      <c r="C38" s="3"/>
      <c r="D38" s="3"/>
      <c r="E38" s="3" t="str">
        <f>IF(AND(C38&lt;&gt;"",D38&lt;&gt;""),D38/C38,"")</f>
        <v/>
      </c>
      <c r="F38" s="13"/>
      <c r="G38" s="3"/>
      <c r="H38" s="3"/>
      <c r="I38" s="3" t="str">
        <f>IF(AND(G38&lt;&gt;"",H38&lt;&gt;""),H38/G38,"")</f>
        <v/>
      </c>
    </row>
    <row r="39" spans="1:9" x14ac:dyDescent="0.25">
      <c r="A39" s="12" t="s">
        <v>126</v>
      </c>
      <c r="B39" s="12"/>
      <c r="C39" s="12">
        <f>SUM(C5:C38)</f>
        <v>0</v>
      </c>
      <c r="D39" s="12">
        <f>SUM(D5:D38)</f>
        <v>0</v>
      </c>
      <c r="E39" s="12" t="str">
        <f>IF(C39&gt;0, D39/C39,"")</f>
        <v/>
      </c>
      <c r="F39" s="12"/>
      <c r="G39" s="12">
        <f>SUM(G5:G38)</f>
        <v>0</v>
      </c>
      <c r="H39" s="12">
        <f>SUM(H5:H38)</f>
        <v>0</v>
      </c>
      <c r="I39" s="12" t="str">
        <f>IF(G39&gt;0, H39/G39,"")</f>
        <v/>
      </c>
    </row>
    <row r="41" spans="1:9" x14ac:dyDescent="0.25">
      <c r="A41" s="8" t="s">
        <v>127</v>
      </c>
      <c r="B41" s="8"/>
      <c r="C41" s="8">
        <f>C39+G39</f>
        <v>0</v>
      </c>
      <c r="D41" s="8">
        <f>D39+H39</f>
        <v>0</v>
      </c>
      <c r="E41" s="8" t="str">
        <f>IF(C41&gt;0, D41/C41,"")</f>
        <v/>
      </c>
      <c r="F41" s="8"/>
      <c r="G41" s="8"/>
      <c r="H41" s="8"/>
      <c r="I41" s="8"/>
    </row>
    <row r="44" spans="1:9" x14ac:dyDescent="0.25">
      <c r="A44" s="9" t="s">
        <v>100</v>
      </c>
      <c r="B44" s="9" t="s">
        <v>128</v>
      </c>
      <c r="C44" s="9" t="s">
        <v>129</v>
      </c>
    </row>
    <row r="45" spans="1:9" x14ac:dyDescent="0.25">
      <c r="A45" t="s">
        <v>208</v>
      </c>
      <c r="B45" t="str">
        <f>E6</f>
        <v/>
      </c>
      <c r="C45" t="str">
        <f>I6</f>
        <v/>
      </c>
    </row>
    <row r="46" spans="1:9" x14ac:dyDescent="0.25">
      <c r="A46" t="s">
        <v>209</v>
      </c>
      <c r="B46" t="str">
        <f>E7</f>
        <v/>
      </c>
      <c r="C46" t="str">
        <f>I7</f>
        <v/>
      </c>
    </row>
    <row r="47" spans="1:9" x14ac:dyDescent="0.25">
      <c r="A47" t="s">
        <v>211</v>
      </c>
      <c r="B47" t="str">
        <f>E9</f>
        <v/>
      </c>
      <c r="C47" t="str">
        <f>I9</f>
        <v/>
      </c>
    </row>
    <row r="48" spans="1:9" x14ac:dyDescent="0.25">
      <c r="A48" t="s">
        <v>212</v>
      </c>
      <c r="B48" t="str">
        <f>E10</f>
        <v/>
      </c>
      <c r="C48" t="str">
        <f>I10</f>
        <v/>
      </c>
    </row>
    <row r="49" spans="1:3" x14ac:dyDescent="0.25">
      <c r="A49" t="s">
        <v>213</v>
      </c>
      <c r="B49" t="str">
        <f>E11</f>
        <v/>
      </c>
      <c r="C49" t="str">
        <f>I11</f>
        <v/>
      </c>
    </row>
    <row r="50" spans="1:3" x14ac:dyDescent="0.25">
      <c r="A50" t="s">
        <v>215</v>
      </c>
      <c r="B50" t="str">
        <f t="shared" ref="B50:B57" si="4">E13</f>
        <v/>
      </c>
      <c r="C50" t="str">
        <f t="shared" ref="C50:C57" si="5">I13</f>
        <v/>
      </c>
    </row>
    <row r="51" spans="1:3" x14ac:dyDescent="0.25">
      <c r="A51" t="s">
        <v>216</v>
      </c>
      <c r="B51" t="str">
        <f t="shared" si="4"/>
        <v/>
      </c>
      <c r="C51" t="str">
        <f t="shared" si="5"/>
        <v/>
      </c>
    </row>
    <row r="52" spans="1:3" x14ac:dyDescent="0.25">
      <c r="A52" t="s">
        <v>217</v>
      </c>
      <c r="B52" t="str">
        <f t="shared" si="4"/>
        <v/>
      </c>
      <c r="C52" t="str">
        <f t="shared" si="5"/>
        <v/>
      </c>
    </row>
    <row r="53" spans="1:3" x14ac:dyDescent="0.25">
      <c r="A53" t="s">
        <v>218</v>
      </c>
      <c r="B53" t="str">
        <f t="shared" si="4"/>
        <v/>
      </c>
      <c r="C53" t="str">
        <f t="shared" si="5"/>
        <v/>
      </c>
    </row>
    <row r="54" spans="1:3" x14ac:dyDescent="0.25">
      <c r="A54" t="s">
        <v>219</v>
      </c>
      <c r="B54" t="str">
        <f t="shared" si="4"/>
        <v/>
      </c>
      <c r="C54" t="str">
        <f t="shared" si="5"/>
        <v/>
      </c>
    </row>
    <row r="55" spans="1:3" x14ac:dyDescent="0.25">
      <c r="A55" t="s">
        <v>220</v>
      </c>
      <c r="B55" t="str">
        <f t="shared" si="4"/>
        <v/>
      </c>
      <c r="C55" t="str">
        <f t="shared" si="5"/>
        <v/>
      </c>
    </row>
    <row r="56" spans="1:3" x14ac:dyDescent="0.25">
      <c r="A56" t="s">
        <v>221</v>
      </c>
      <c r="B56" t="str">
        <f t="shared" si="4"/>
        <v/>
      </c>
      <c r="C56" t="str">
        <f t="shared" si="5"/>
        <v/>
      </c>
    </row>
    <row r="57" spans="1:3" x14ac:dyDescent="0.25">
      <c r="A57" t="s">
        <v>222</v>
      </c>
      <c r="B57" t="str">
        <f t="shared" si="4"/>
        <v/>
      </c>
      <c r="C57" t="str">
        <f t="shared" si="5"/>
        <v/>
      </c>
    </row>
    <row r="58" spans="1:3" x14ac:dyDescent="0.25">
      <c r="A58" t="s">
        <v>224</v>
      </c>
      <c r="B58" t="str">
        <f t="shared" ref="B58:B64" si="6">E22</f>
        <v/>
      </c>
      <c r="C58" t="str">
        <f t="shared" ref="C58:C64" si="7">I22</f>
        <v/>
      </c>
    </row>
    <row r="59" spans="1:3" x14ac:dyDescent="0.25">
      <c r="A59" t="s">
        <v>225</v>
      </c>
      <c r="B59" t="str">
        <f t="shared" si="6"/>
        <v/>
      </c>
      <c r="C59" t="str">
        <f t="shared" si="7"/>
        <v/>
      </c>
    </row>
    <row r="60" spans="1:3" x14ac:dyDescent="0.25">
      <c r="A60" t="s">
        <v>226</v>
      </c>
      <c r="B60" t="str">
        <f t="shared" si="6"/>
        <v/>
      </c>
      <c r="C60" t="str">
        <f t="shared" si="7"/>
        <v/>
      </c>
    </row>
    <row r="61" spans="1:3" x14ac:dyDescent="0.25">
      <c r="A61" t="s">
        <v>227</v>
      </c>
      <c r="B61" t="str">
        <f t="shared" si="6"/>
        <v/>
      </c>
      <c r="C61" t="str">
        <f t="shared" si="7"/>
        <v/>
      </c>
    </row>
    <row r="62" spans="1:3" x14ac:dyDescent="0.25">
      <c r="A62" t="s">
        <v>228</v>
      </c>
      <c r="B62" t="str">
        <f t="shared" si="6"/>
        <v/>
      </c>
      <c r="C62" t="str">
        <f t="shared" si="7"/>
        <v/>
      </c>
    </row>
    <row r="63" spans="1:3" x14ac:dyDescent="0.25">
      <c r="A63" t="s">
        <v>229</v>
      </c>
      <c r="B63" t="str">
        <f t="shared" si="6"/>
        <v/>
      </c>
      <c r="C63" t="str">
        <f t="shared" si="7"/>
        <v/>
      </c>
    </row>
    <row r="64" spans="1:3" x14ac:dyDescent="0.25">
      <c r="A64" t="s">
        <v>230</v>
      </c>
      <c r="B64" t="str">
        <f t="shared" si="6"/>
        <v/>
      </c>
      <c r="C64" t="str">
        <f t="shared" si="7"/>
        <v/>
      </c>
    </row>
    <row r="65" spans="1:3" x14ac:dyDescent="0.25">
      <c r="A65" t="s">
        <v>232</v>
      </c>
      <c r="B65" t="str">
        <f>E30</f>
        <v/>
      </c>
      <c r="C65" t="str">
        <f>I30</f>
        <v/>
      </c>
    </row>
    <row r="66" spans="1:3" x14ac:dyDescent="0.25">
      <c r="A66" t="s">
        <v>233</v>
      </c>
      <c r="B66" t="str">
        <f>E31</f>
        <v/>
      </c>
      <c r="C66" t="str">
        <f>I31</f>
        <v/>
      </c>
    </row>
    <row r="67" spans="1:3" x14ac:dyDescent="0.25">
      <c r="A67" t="s">
        <v>234</v>
      </c>
      <c r="B67" t="str">
        <f>E32</f>
        <v/>
      </c>
      <c r="C67" t="str">
        <f>I32</f>
        <v/>
      </c>
    </row>
    <row r="68" spans="1:3" x14ac:dyDescent="0.25">
      <c r="A68" t="s">
        <v>236</v>
      </c>
      <c r="B68" t="str">
        <f>E34</f>
        <v/>
      </c>
      <c r="C68" t="str">
        <f>I34</f>
        <v/>
      </c>
    </row>
    <row r="69" spans="1:3" x14ac:dyDescent="0.25">
      <c r="A69" t="s">
        <v>237</v>
      </c>
      <c r="B69" t="str">
        <f>E35</f>
        <v/>
      </c>
      <c r="C69" t="str">
        <f>I35</f>
        <v/>
      </c>
    </row>
    <row r="70" spans="1:3" x14ac:dyDescent="0.25">
      <c r="A70" t="s">
        <v>238</v>
      </c>
      <c r="B70" t="str">
        <f>E36</f>
        <v/>
      </c>
      <c r="C70" t="str">
        <f>I36</f>
        <v/>
      </c>
    </row>
    <row r="71" spans="1:3" x14ac:dyDescent="0.25">
      <c r="A71" t="s">
        <v>239</v>
      </c>
      <c r="B71" t="str">
        <f>E37</f>
        <v/>
      </c>
      <c r="C71" t="str">
        <f>I37</f>
        <v/>
      </c>
    </row>
    <row r="72" spans="1:3" x14ac:dyDescent="0.25">
      <c r="A72" t="s">
        <v>240</v>
      </c>
      <c r="B72" t="str">
        <f>E38</f>
        <v/>
      </c>
      <c r="C72" t="str">
        <f>I38</f>
        <v/>
      </c>
    </row>
  </sheetData>
  <mergeCells count="3">
    <mergeCell ref="G3:I3"/>
    <mergeCell ref="A1:I1"/>
    <mergeCell ref="A3:E3"/>
  </mergeCells>
  <phoneticPr fontId="10" type="noConversion"/>
  <conditionalFormatting sqref="E6:E7">
    <cfRule type="cellIs" dxfId="41" priority="1" operator="greaterThanOrEqual">
      <formula>0.9</formula>
    </cfRule>
    <cfRule type="cellIs" dxfId="40" priority="2" operator="between">
      <formula>0.8</formula>
      <formula>0.9</formula>
    </cfRule>
    <cfRule type="cellIs" dxfId="39" priority="3" operator="lessThan">
      <formula>0.8</formula>
    </cfRule>
  </conditionalFormatting>
  <conditionalFormatting sqref="E9:E11">
    <cfRule type="cellIs" dxfId="38" priority="7" operator="greaterThanOrEqual">
      <formula>0.9</formula>
    </cfRule>
    <cfRule type="cellIs" dxfId="37" priority="8" operator="between">
      <formula>0.8</formula>
      <formula>0.9</formula>
    </cfRule>
    <cfRule type="cellIs" dxfId="36" priority="9" operator="lessThan">
      <formula>0.8</formula>
    </cfRule>
  </conditionalFormatting>
  <conditionalFormatting sqref="E13:E20">
    <cfRule type="cellIs" dxfId="35" priority="16" operator="greaterThanOrEqual">
      <formula>0.9</formula>
    </cfRule>
    <cfRule type="cellIs" dxfId="34" priority="17" operator="between">
      <formula>0.8</formula>
      <formula>0.9</formula>
    </cfRule>
    <cfRule type="cellIs" dxfId="33" priority="18" operator="lessThan">
      <formula>0.8</formula>
    </cfRule>
  </conditionalFormatting>
  <conditionalFormatting sqref="E22:E28">
    <cfRule type="cellIs" dxfId="32" priority="40" operator="greaterThanOrEqual">
      <formula>0.9</formula>
    </cfRule>
    <cfRule type="cellIs" dxfId="31" priority="41" operator="between">
      <formula>0.8</formula>
      <formula>0.9</formula>
    </cfRule>
    <cfRule type="cellIs" dxfId="30" priority="42" operator="lessThan">
      <formula>0.8</formula>
    </cfRule>
  </conditionalFormatting>
  <conditionalFormatting sqref="E30:E32">
    <cfRule type="cellIs" dxfId="29" priority="61" operator="greaterThanOrEqual">
      <formula>0.9</formula>
    </cfRule>
    <cfRule type="cellIs" dxfId="28" priority="62" operator="between">
      <formula>0.8</formula>
      <formula>0.9</formula>
    </cfRule>
    <cfRule type="cellIs" dxfId="27" priority="63" operator="lessThan">
      <formula>0.8</formula>
    </cfRule>
  </conditionalFormatting>
  <conditionalFormatting sqref="E34:E39">
    <cfRule type="cellIs" dxfId="26" priority="70" operator="greaterThanOrEqual">
      <formula>0.9</formula>
    </cfRule>
    <cfRule type="cellIs" dxfId="25" priority="71" operator="between">
      <formula>0.8</formula>
      <formula>0.9</formula>
    </cfRule>
    <cfRule type="cellIs" dxfId="24" priority="72" operator="lessThan">
      <formula>0.8</formula>
    </cfRule>
  </conditionalFormatting>
  <conditionalFormatting sqref="E41">
    <cfRule type="cellIs" dxfId="23" priority="88" operator="greaterThanOrEqual">
      <formula>0.9</formula>
    </cfRule>
    <cfRule type="cellIs" dxfId="22" priority="89" operator="between">
      <formula>0.8</formula>
      <formula>0.9</formula>
    </cfRule>
    <cfRule type="cellIs" dxfId="21" priority="90" operator="lessThan">
      <formula>0.8</formula>
    </cfRule>
  </conditionalFormatting>
  <conditionalFormatting sqref="I6:I7">
    <cfRule type="cellIs" dxfId="20" priority="91" operator="greaterThanOrEqual">
      <formula>0.9</formula>
    </cfRule>
    <cfRule type="cellIs" dxfId="19" priority="92" operator="between">
      <formula>0.8</formula>
      <formula>0.9</formula>
    </cfRule>
    <cfRule type="cellIs" dxfId="18" priority="93" operator="lessThan">
      <formula>0.8</formula>
    </cfRule>
  </conditionalFormatting>
  <conditionalFormatting sqref="I9:I11">
    <cfRule type="cellIs" dxfId="17" priority="97" operator="greaterThanOrEqual">
      <formula>0.9</formula>
    </cfRule>
    <cfRule type="cellIs" dxfId="16" priority="98" operator="between">
      <formula>0.8</formula>
      <formula>0.9</formula>
    </cfRule>
    <cfRule type="cellIs" dxfId="15" priority="99" operator="lessThan">
      <formula>0.8</formula>
    </cfRule>
  </conditionalFormatting>
  <conditionalFormatting sqref="I13:I20">
    <cfRule type="cellIs" dxfId="14" priority="106" operator="greaterThanOrEqual">
      <formula>0.9</formula>
    </cfRule>
    <cfRule type="cellIs" dxfId="13" priority="107" operator="between">
      <formula>0.8</formula>
      <formula>0.9</formula>
    </cfRule>
    <cfRule type="cellIs" dxfId="12" priority="108" operator="lessThan">
      <formula>0.8</formula>
    </cfRule>
  </conditionalFormatting>
  <conditionalFormatting sqref="I22:I28">
    <cfRule type="cellIs" dxfId="11" priority="130" operator="greaterThanOrEqual">
      <formula>0.9</formula>
    </cfRule>
    <cfRule type="cellIs" dxfId="10" priority="131" operator="between">
      <formula>0.8</formula>
      <formula>0.9</formula>
    </cfRule>
    <cfRule type="cellIs" dxfId="9" priority="132" operator="lessThan">
      <formula>0.8</formula>
    </cfRule>
  </conditionalFormatting>
  <conditionalFormatting sqref="I30:I32">
    <cfRule type="cellIs" dxfId="8" priority="151" operator="greaterThanOrEqual">
      <formula>0.9</formula>
    </cfRule>
    <cfRule type="cellIs" dxfId="7" priority="152" operator="between">
      <formula>0.8</formula>
      <formula>0.9</formula>
    </cfRule>
    <cfRule type="cellIs" dxfId="6" priority="153" operator="lessThan">
      <formula>0.8</formula>
    </cfRule>
  </conditionalFormatting>
  <conditionalFormatting sqref="I34:I39">
    <cfRule type="cellIs" dxfId="5" priority="160" operator="greaterThanOrEqual">
      <formula>0.9</formula>
    </cfRule>
    <cfRule type="cellIs" dxfId="4" priority="161" operator="between">
      <formula>0.8</formula>
      <formula>0.9</formula>
    </cfRule>
    <cfRule type="cellIs" dxfId="3" priority="162" operator="lessThan">
      <formula>0.8</formula>
    </cfRule>
  </conditionalFormatting>
  <conditionalFormatting sqref="I41">
    <cfRule type="cellIs" dxfId="2" priority="178" operator="greaterThanOrEqual">
      <formula>0.9</formula>
    </cfRule>
    <cfRule type="cellIs" dxfId="1" priority="179" operator="between">
      <formula>0.8</formula>
      <formula>0.9</formula>
    </cfRule>
    <cfRule type="cellIs" dxfId="0" priority="180" operator="lessThan">
      <formula>0.8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汇总看板</vt:lpstr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2026-06-08T12:29:17Z</dcterms:modified>
</cp:coreProperties>
</file>