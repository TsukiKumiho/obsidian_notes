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/>
  <mc:AlternateContent xmlns:mc="http://schemas.openxmlformats.org/markup-compatibility/2006">
    <mc:Choice Requires="x15">
      <x15ac:absPath xmlns:x15ac="http://schemas.microsoft.com/office/spreadsheetml/2010/11/ac" url="C:\Users\34406\Documents\Obsidian Vault\"/>
    </mc:Choice>
  </mc:AlternateContent>
  <xr:revisionPtr revIDLastSave="0" documentId="13_ncr:1_{D51BA39C-AB44-49E9-BC00-759574EEF8C4}" xr6:coauthVersionLast="47" xr6:coauthVersionMax="47" xr10:uidLastSave="{00000000-0000-0000-0000-000000000000}"/>
  <bookViews>
    <workbookView xWindow="-110" yWindow="-110" windowWidth="25820" windowHeight="15500" activeTab="2" xr2:uid="{00000000-000D-0000-FFFF-FFFF00000000}"/>
  </bookViews>
  <sheets>
    <sheet name="张宇1000题" sheetId="1" r:id="rId1"/>
    <sheet name="武忠祥高数严选题" sheetId="2" r:id="rId2"/>
    <sheet name="李林880" sheetId="3" r:id="rId3"/>
    <sheet name="王道数据结构" sheetId="4" r:id="rId4"/>
    <sheet name="王道计组" sheetId="5" r:id="rId5"/>
    <sheet name="王道操作系统" sheetId="6" r:id="rId6"/>
    <sheet name="王道计网" sheetId="7" r:id="rId7"/>
    <sheet name="英语真题阅读" sheetId="8" r:id="rId8"/>
  </sheets>
  <calcPr calcId="191029" forceFullCalc="1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V41" i="7" l="1"/>
  <c r="S41" i="7"/>
  <c r="P41" i="7"/>
  <c r="R39" i="7"/>
  <c r="Q39" i="7"/>
  <c r="O39" i="7"/>
  <c r="N39" i="7"/>
  <c r="G39" i="7"/>
  <c r="F39" i="7"/>
  <c r="D39" i="7"/>
  <c r="C39" i="7"/>
  <c r="U38" i="7"/>
  <c r="T38" i="7"/>
  <c r="S38" i="7"/>
  <c r="P38" i="7"/>
  <c r="J38" i="7"/>
  <c r="I38" i="7"/>
  <c r="H38" i="7"/>
  <c r="E38" i="7"/>
  <c r="U37" i="7"/>
  <c r="T37" i="7"/>
  <c r="S37" i="7"/>
  <c r="P37" i="7"/>
  <c r="J37" i="7"/>
  <c r="I37" i="7"/>
  <c r="H37" i="7"/>
  <c r="E37" i="7"/>
  <c r="U36" i="7"/>
  <c r="T36" i="7"/>
  <c r="S36" i="7"/>
  <c r="P36" i="7"/>
  <c r="J36" i="7"/>
  <c r="I36" i="7"/>
  <c r="H36" i="7"/>
  <c r="E36" i="7"/>
  <c r="U35" i="7"/>
  <c r="T35" i="7"/>
  <c r="S35" i="7"/>
  <c r="P35" i="7"/>
  <c r="J35" i="7"/>
  <c r="I35" i="7"/>
  <c r="H35" i="7"/>
  <c r="E35" i="7"/>
  <c r="U34" i="7"/>
  <c r="T34" i="7"/>
  <c r="S34" i="7"/>
  <c r="P34" i="7"/>
  <c r="J34" i="7"/>
  <c r="I34" i="7"/>
  <c r="H34" i="7"/>
  <c r="E34" i="7"/>
  <c r="U32" i="7"/>
  <c r="T32" i="7"/>
  <c r="S32" i="7"/>
  <c r="P32" i="7"/>
  <c r="J32" i="7"/>
  <c r="I32" i="7"/>
  <c r="H32" i="7"/>
  <c r="E32" i="7"/>
  <c r="U31" i="7"/>
  <c r="T31" i="7"/>
  <c r="S31" i="7"/>
  <c r="P31" i="7"/>
  <c r="J31" i="7"/>
  <c r="I31" i="7"/>
  <c r="H31" i="7"/>
  <c r="E31" i="7"/>
  <c r="U30" i="7"/>
  <c r="T30" i="7"/>
  <c r="S30" i="7"/>
  <c r="P30" i="7"/>
  <c r="J30" i="7"/>
  <c r="I30" i="7"/>
  <c r="H30" i="7"/>
  <c r="E30" i="7"/>
  <c r="U28" i="7"/>
  <c r="T28" i="7"/>
  <c r="S28" i="7"/>
  <c r="P28" i="7"/>
  <c r="J28" i="7"/>
  <c r="I28" i="7"/>
  <c r="H28" i="7"/>
  <c r="E28" i="7"/>
  <c r="U27" i="7"/>
  <c r="T27" i="7"/>
  <c r="S27" i="7"/>
  <c r="P27" i="7"/>
  <c r="J27" i="7"/>
  <c r="I27" i="7"/>
  <c r="H27" i="7"/>
  <c r="E27" i="7"/>
  <c r="U26" i="7"/>
  <c r="T26" i="7"/>
  <c r="S26" i="7"/>
  <c r="P26" i="7"/>
  <c r="J26" i="7"/>
  <c r="I26" i="7"/>
  <c r="H26" i="7"/>
  <c r="E26" i="7"/>
  <c r="U25" i="7"/>
  <c r="T25" i="7"/>
  <c r="S25" i="7"/>
  <c r="P25" i="7"/>
  <c r="J25" i="7"/>
  <c r="I25" i="7"/>
  <c r="H25" i="7"/>
  <c r="E25" i="7"/>
  <c r="U24" i="7"/>
  <c r="T24" i="7"/>
  <c r="S24" i="7"/>
  <c r="P24" i="7"/>
  <c r="J24" i="7"/>
  <c r="I24" i="7"/>
  <c r="H24" i="7"/>
  <c r="E24" i="7"/>
  <c r="U23" i="7"/>
  <c r="T23" i="7"/>
  <c r="S23" i="7"/>
  <c r="P23" i="7"/>
  <c r="J23" i="7"/>
  <c r="I23" i="7"/>
  <c r="H23" i="7"/>
  <c r="E23" i="7"/>
  <c r="U22" i="7"/>
  <c r="T22" i="7"/>
  <c r="S22" i="7"/>
  <c r="P22" i="7"/>
  <c r="J22" i="7"/>
  <c r="I22" i="7"/>
  <c r="H22" i="7"/>
  <c r="E22" i="7"/>
  <c r="U20" i="7"/>
  <c r="T20" i="7"/>
  <c r="S20" i="7"/>
  <c r="P20" i="7"/>
  <c r="J20" i="7"/>
  <c r="I20" i="7"/>
  <c r="H20" i="7"/>
  <c r="E20" i="7"/>
  <c r="U19" i="7"/>
  <c r="T19" i="7"/>
  <c r="S19" i="7"/>
  <c r="P19" i="7"/>
  <c r="J19" i="7"/>
  <c r="I19" i="7"/>
  <c r="H19" i="7"/>
  <c r="E19" i="7"/>
  <c r="U18" i="7"/>
  <c r="T18" i="7"/>
  <c r="S18" i="7"/>
  <c r="P18" i="7"/>
  <c r="J18" i="7"/>
  <c r="I18" i="7"/>
  <c r="H18" i="7"/>
  <c r="E18" i="7"/>
  <c r="U17" i="7"/>
  <c r="T17" i="7"/>
  <c r="S17" i="7"/>
  <c r="P17" i="7"/>
  <c r="J17" i="7"/>
  <c r="I17" i="7"/>
  <c r="H17" i="7"/>
  <c r="E17" i="7"/>
  <c r="U16" i="7"/>
  <c r="T16" i="7"/>
  <c r="S16" i="7"/>
  <c r="P16" i="7"/>
  <c r="J16" i="7"/>
  <c r="I16" i="7"/>
  <c r="H16" i="7"/>
  <c r="E16" i="7"/>
  <c r="U15" i="7"/>
  <c r="T15" i="7"/>
  <c r="S15" i="7"/>
  <c r="P15" i="7"/>
  <c r="J15" i="7"/>
  <c r="I15" i="7"/>
  <c r="H15" i="7"/>
  <c r="E15" i="7"/>
  <c r="U14" i="7"/>
  <c r="T14" i="7"/>
  <c r="S14" i="7"/>
  <c r="P14" i="7"/>
  <c r="J14" i="7"/>
  <c r="I14" i="7"/>
  <c r="H14" i="7"/>
  <c r="E14" i="7"/>
  <c r="U13" i="7"/>
  <c r="T13" i="7"/>
  <c r="S13" i="7"/>
  <c r="P13" i="7"/>
  <c r="J13" i="7"/>
  <c r="I13" i="7"/>
  <c r="H13" i="7"/>
  <c r="E13" i="7"/>
  <c r="U11" i="7"/>
  <c r="T11" i="7"/>
  <c r="S11" i="7"/>
  <c r="P11" i="7"/>
  <c r="J11" i="7"/>
  <c r="I11" i="7"/>
  <c r="H11" i="7"/>
  <c r="E11" i="7"/>
  <c r="U10" i="7"/>
  <c r="T10" i="7"/>
  <c r="S10" i="7"/>
  <c r="P10" i="7"/>
  <c r="J10" i="7"/>
  <c r="I10" i="7"/>
  <c r="H10" i="7"/>
  <c r="E10" i="7"/>
  <c r="U9" i="7"/>
  <c r="T9" i="7"/>
  <c r="S9" i="7"/>
  <c r="P9" i="7"/>
  <c r="J9" i="7"/>
  <c r="I9" i="7"/>
  <c r="H9" i="7"/>
  <c r="E9" i="7"/>
  <c r="U7" i="7"/>
  <c r="T7" i="7"/>
  <c r="S7" i="7"/>
  <c r="P7" i="7"/>
  <c r="J7" i="7"/>
  <c r="I7" i="7"/>
  <c r="H7" i="7"/>
  <c r="E7" i="7"/>
  <c r="U6" i="7"/>
  <c r="T6" i="7"/>
  <c r="S6" i="7"/>
  <c r="P6" i="7"/>
  <c r="J6" i="7"/>
  <c r="I6" i="7"/>
  <c r="H6" i="7"/>
  <c r="E6" i="7"/>
  <c r="V30" i="6"/>
  <c r="S30" i="6"/>
  <c r="P30" i="6"/>
  <c r="R28" i="6"/>
  <c r="Q28" i="6"/>
  <c r="O28" i="6"/>
  <c r="N28" i="6"/>
  <c r="G28" i="6"/>
  <c r="F28" i="6"/>
  <c r="D28" i="6"/>
  <c r="C28" i="6"/>
  <c r="U27" i="6"/>
  <c r="T27" i="6"/>
  <c r="S27" i="6"/>
  <c r="P27" i="6"/>
  <c r="J27" i="6"/>
  <c r="I27" i="6"/>
  <c r="H27" i="6"/>
  <c r="E27" i="6"/>
  <c r="U26" i="6"/>
  <c r="T26" i="6"/>
  <c r="S26" i="6"/>
  <c r="P26" i="6"/>
  <c r="J26" i="6"/>
  <c r="I26" i="6"/>
  <c r="H26" i="6"/>
  <c r="E26" i="6"/>
  <c r="U25" i="6"/>
  <c r="T25" i="6"/>
  <c r="S25" i="6"/>
  <c r="P25" i="6"/>
  <c r="J25" i="6"/>
  <c r="I25" i="6"/>
  <c r="H25" i="6"/>
  <c r="E25" i="6"/>
  <c r="U23" i="6"/>
  <c r="T23" i="6"/>
  <c r="S23" i="6"/>
  <c r="P23" i="6"/>
  <c r="J23" i="6"/>
  <c r="I23" i="6"/>
  <c r="H23" i="6"/>
  <c r="E23" i="6"/>
  <c r="U22" i="6"/>
  <c r="T22" i="6"/>
  <c r="S22" i="6"/>
  <c r="P22" i="6"/>
  <c r="J22" i="6"/>
  <c r="I22" i="6"/>
  <c r="H22" i="6"/>
  <c r="E22" i="6"/>
  <c r="U21" i="6"/>
  <c r="T21" i="6"/>
  <c r="S21" i="6"/>
  <c r="P21" i="6"/>
  <c r="J21" i="6"/>
  <c r="I21" i="6"/>
  <c r="H21" i="6"/>
  <c r="E21" i="6"/>
  <c r="U19" i="6"/>
  <c r="T19" i="6"/>
  <c r="S19" i="6"/>
  <c r="P19" i="6"/>
  <c r="J19" i="6"/>
  <c r="I19" i="6"/>
  <c r="H19" i="6"/>
  <c r="E19" i="6"/>
  <c r="U18" i="6"/>
  <c r="T18" i="6"/>
  <c r="S18" i="6"/>
  <c r="P18" i="6"/>
  <c r="J18" i="6"/>
  <c r="I18" i="6"/>
  <c r="H18" i="6"/>
  <c r="E18" i="6"/>
  <c r="U16" i="6"/>
  <c r="T16" i="6"/>
  <c r="S16" i="6"/>
  <c r="P16" i="6"/>
  <c r="J16" i="6"/>
  <c r="I16" i="6"/>
  <c r="H16" i="6"/>
  <c r="E16" i="6"/>
  <c r="U15" i="6"/>
  <c r="T15" i="6"/>
  <c r="S15" i="6"/>
  <c r="P15" i="6"/>
  <c r="J15" i="6"/>
  <c r="I15" i="6"/>
  <c r="H15" i="6"/>
  <c r="E15" i="6"/>
  <c r="U14" i="6"/>
  <c r="T14" i="6"/>
  <c r="S14" i="6"/>
  <c r="P14" i="6"/>
  <c r="J14" i="6"/>
  <c r="I14" i="6"/>
  <c r="H14" i="6"/>
  <c r="E14" i="6"/>
  <c r="U13" i="6"/>
  <c r="T13" i="6"/>
  <c r="S13" i="6"/>
  <c r="P13" i="6"/>
  <c r="J13" i="6"/>
  <c r="I13" i="6"/>
  <c r="H13" i="6"/>
  <c r="E13" i="6"/>
  <c r="U11" i="6"/>
  <c r="T11" i="6"/>
  <c r="S11" i="6"/>
  <c r="P11" i="6"/>
  <c r="J11" i="6"/>
  <c r="I11" i="6"/>
  <c r="H11" i="6"/>
  <c r="E11" i="6"/>
  <c r="U10" i="6"/>
  <c r="T10" i="6"/>
  <c r="S10" i="6"/>
  <c r="P10" i="6"/>
  <c r="J10" i="6"/>
  <c r="I10" i="6"/>
  <c r="H10" i="6"/>
  <c r="E10" i="6"/>
  <c r="U9" i="6"/>
  <c r="T9" i="6"/>
  <c r="S9" i="6"/>
  <c r="P9" i="6"/>
  <c r="J9" i="6"/>
  <c r="I9" i="6"/>
  <c r="H9" i="6"/>
  <c r="E9" i="6"/>
  <c r="U8" i="6"/>
  <c r="T8" i="6"/>
  <c r="S8" i="6"/>
  <c r="P8" i="6"/>
  <c r="J8" i="6"/>
  <c r="I8" i="6"/>
  <c r="H8" i="6"/>
  <c r="E8" i="6"/>
  <c r="U7" i="6"/>
  <c r="T7" i="6"/>
  <c r="S7" i="6"/>
  <c r="P7" i="6"/>
  <c r="J7" i="6"/>
  <c r="I7" i="6"/>
  <c r="H7" i="6"/>
  <c r="E7" i="6"/>
  <c r="U6" i="6"/>
  <c r="T6" i="6"/>
  <c r="S6" i="6"/>
  <c r="P6" i="6"/>
  <c r="J6" i="6"/>
  <c r="I6" i="6"/>
  <c r="H6" i="6"/>
  <c r="E6" i="6"/>
  <c r="V42" i="5"/>
  <c r="S42" i="5"/>
  <c r="P42" i="5"/>
  <c r="R40" i="5"/>
  <c r="Q40" i="5"/>
  <c r="O40" i="5"/>
  <c r="N40" i="5"/>
  <c r="G40" i="5"/>
  <c r="F40" i="5"/>
  <c r="D40" i="5"/>
  <c r="C40" i="5"/>
  <c r="U39" i="5"/>
  <c r="T39" i="5"/>
  <c r="S39" i="5"/>
  <c r="P39" i="5"/>
  <c r="J39" i="5"/>
  <c r="I39" i="5"/>
  <c r="H39" i="5"/>
  <c r="E39" i="5"/>
  <c r="U38" i="5"/>
  <c r="T38" i="5"/>
  <c r="S38" i="5"/>
  <c r="P38" i="5"/>
  <c r="J38" i="5"/>
  <c r="I38" i="5"/>
  <c r="H38" i="5"/>
  <c r="E38" i="5"/>
  <c r="U37" i="5"/>
  <c r="T37" i="5"/>
  <c r="S37" i="5"/>
  <c r="P37" i="5"/>
  <c r="J37" i="5"/>
  <c r="I37" i="5"/>
  <c r="H37" i="5"/>
  <c r="E37" i="5"/>
  <c r="U35" i="5"/>
  <c r="T35" i="5"/>
  <c r="S35" i="5"/>
  <c r="P35" i="5"/>
  <c r="J35" i="5"/>
  <c r="I35" i="5"/>
  <c r="H35" i="5"/>
  <c r="E35" i="5"/>
  <c r="U34" i="5"/>
  <c r="T34" i="5"/>
  <c r="S34" i="5"/>
  <c r="P34" i="5"/>
  <c r="J34" i="5"/>
  <c r="I34" i="5"/>
  <c r="H34" i="5"/>
  <c r="E34" i="5"/>
  <c r="U32" i="5"/>
  <c r="T32" i="5"/>
  <c r="S32" i="5"/>
  <c r="P32" i="5"/>
  <c r="J32" i="5"/>
  <c r="I32" i="5"/>
  <c r="H32" i="5"/>
  <c r="E32" i="5"/>
  <c r="U31" i="5"/>
  <c r="T31" i="5"/>
  <c r="S31" i="5"/>
  <c r="P31" i="5"/>
  <c r="J31" i="5"/>
  <c r="I31" i="5"/>
  <c r="H31" i="5"/>
  <c r="E31" i="5"/>
  <c r="U30" i="5"/>
  <c r="T30" i="5"/>
  <c r="S30" i="5"/>
  <c r="P30" i="5"/>
  <c r="J30" i="5"/>
  <c r="I30" i="5"/>
  <c r="H30" i="5"/>
  <c r="E30" i="5"/>
  <c r="U29" i="5"/>
  <c r="T29" i="5"/>
  <c r="S29" i="5"/>
  <c r="P29" i="5"/>
  <c r="J29" i="5"/>
  <c r="I29" i="5"/>
  <c r="H29" i="5"/>
  <c r="E29" i="5"/>
  <c r="U28" i="5"/>
  <c r="T28" i="5"/>
  <c r="S28" i="5"/>
  <c r="P28" i="5"/>
  <c r="J28" i="5"/>
  <c r="I28" i="5"/>
  <c r="H28" i="5"/>
  <c r="E28" i="5"/>
  <c r="U27" i="5"/>
  <c r="T27" i="5"/>
  <c r="S27" i="5"/>
  <c r="P27" i="5"/>
  <c r="J27" i="5"/>
  <c r="I27" i="5"/>
  <c r="H27" i="5"/>
  <c r="E27" i="5"/>
  <c r="U26" i="5"/>
  <c r="T26" i="5"/>
  <c r="S26" i="5"/>
  <c r="P26" i="5"/>
  <c r="J26" i="5"/>
  <c r="I26" i="5"/>
  <c r="H26" i="5"/>
  <c r="E26" i="5"/>
  <c r="U24" i="5"/>
  <c r="T24" i="5"/>
  <c r="S24" i="5"/>
  <c r="P24" i="5"/>
  <c r="J24" i="5"/>
  <c r="I24" i="5"/>
  <c r="H24" i="5"/>
  <c r="E24" i="5"/>
  <c r="U23" i="5"/>
  <c r="T23" i="5"/>
  <c r="S23" i="5"/>
  <c r="P23" i="5"/>
  <c r="J23" i="5"/>
  <c r="I23" i="5"/>
  <c r="H23" i="5"/>
  <c r="E23" i="5"/>
  <c r="U22" i="5"/>
  <c r="T22" i="5"/>
  <c r="S22" i="5"/>
  <c r="P22" i="5"/>
  <c r="J22" i="5"/>
  <c r="I22" i="5"/>
  <c r="H22" i="5"/>
  <c r="E22" i="5"/>
  <c r="U21" i="5"/>
  <c r="T21" i="5"/>
  <c r="S21" i="5"/>
  <c r="P21" i="5"/>
  <c r="J21" i="5"/>
  <c r="I21" i="5"/>
  <c r="H21" i="5"/>
  <c r="E21" i="5"/>
  <c r="U19" i="5"/>
  <c r="T19" i="5"/>
  <c r="S19" i="5"/>
  <c r="P19" i="5"/>
  <c r="J19" i="5"/>
  <c r="I19" i="5"/>
  <c r="H19" i="5"/>
  <c r="E19" i="5"/>
  <c r="U18" i="5"/>
  <c r="T18" i="5"/>
  <c r="S18" i="5"/>
  <c r="P18" i="5"/>
  <c r="J18" i="5"/>
  <c r="I18" i="5"/>
  <c r="H18" i="5"/>
  <c r="E18" i="5"/>
  <c r="U17" i="5"/>
  <c r="T17" i="5"/>
  <c r="S17" i="5"/>
  <c r="P17" i="5"/>
  <c r="J17" i="5"/>
  <c r="I17" i="5"/>
  <c r="H17" i="5"/>
  <c r="E17" i="5"/>
  <c r="U16" i="5"/>
  <c r="T16" i="5"/>
  <c r="S16" i="5"/>
  <c r="P16" i="5"/>
  <c r="J16" i="5"/>
  <c r="I16" i="5"/>
  <c r="H16" i="5"/>
  <c r="E16" i="5"/>
  <c r="U15" i="5"/>
  <c r="T15" i="5"/>
  <c r="S15" i="5"/>
  <c r="P15" i="5"/>
  <c r="J15" i="5"/>
  <c r="I15" i="5"/>
  <c r="H15" i="5"/>
  <c r="E15" i="5"/>
  <c r="U14" i="5"/>
  <c r="T14" i="5"/>
  <c r="S14" i="5"/>
  <c r="P14" i="5"/>
  <c r="J14" i="5"/>
  <c r="I14" i="5"/>
  <c r="H14" i="5"/>
  <c r="E14" i="5"/>
  <c r="U12" i="5"/>
  <c r="T12" i="5"/>
  <c r="S12" i="5"/>
  <c r="P12" i="5"/>
  <c r="J12" i="5"/>
  <c r="I12" i="5"/>
  <c r="H12" i="5"/>
  <c r="E12" i="5"/>
  <c r="U11" i="5"/>
  <c r="T11" i="5"/>
  <c r="S11" i="5"/>
  <c r="P11" i="5"/>
  <c r="J11" i="5"/>
  <c r="I11" i="5"/>
  <c r="H11" i="5"/>
  <c r="E11" i="5"/>
  <c r="U10" i="5"/>
  <c r="T10" i="5"/>
  <c r="S10" i="5"/>
  <c r="P10" i="5"/>
  <c r="J10" i="5"/>
  <c r="I10" i="5"/>
  <c r="H10" i="5"/>
  <c r="E10" i="5"/>
  <c r="U8" i="5"/>
  <c r="T8" i="5"/>
  <c r="S8" i="5"/>
  <c r="P8" i="5"/>
  <c r="J8" i="5"/>
  <c r="I8" i="5"/>
  <c r="H8" i="5"/>
  <c r="E8" i="5"/>
  <c r="U7" i="5"/>
  <c r="T7" i="5"/>
  <c r="S7" i="5"/>
  <c r="P7" i="5"/>
  <c r="J7" i="5"/>
  <c r="I7" i="5"/>
  <c r="H7" i="5"/>
  <c r="E7" i="5"/>
  <c r="U6" i="5"/>
  <c r="T6" i="5"/>
  <c r="S6" i="5"/>
  <c r="P6" i="5"/>
  <c r="J6" i="5"/>
  <c r="I6" i="5"/>
  <c r="H6" i="5"/>
  <c r="E6" i="5"/>
  <c r="V47" i="4"/>
  <c r="S47" i="4"/>
  <c r="P47" i="4"/>
  <c r="R45" i="4"/>
  <c r="Q45" i="4"/>
  <c r="O45" i="4"/>
  <c r="N45" i="4"/>
  <c r="G45" i="4"/>
  <c r="F45" i="4"/>
  <c r="D45" i="4"/>
  <c r="C45" i="4"/>
  <c r="U44" i="4"/>
  <c r="T44" i="4"/>
  <c r="S44" i="4"/>
  <c r="P44" i="4"/>
  <c r="J44" i="4"/>
  <c r="I44" i="4"/>
  <c r="H44" i="4"/>
  <c r="E44" i="4"/>
  <c r="U43" i="4"/>
  <c r="T43" i="4"/>
  <c r="S43" i="4"/>
  <c r="P43" i="4"/>
  <c r="J43" i="4"/>
  <c r="I43" i="4"/>
  <c r="H43" i="4"/>
  <c r="E43" i="4"/>
  <c r="U42" i="4"/>
  <c r="T42" i="4"/>
  <c r="S42" i="4"/>
  <c r="P42" i="4"/>
  <c r="J42" i="4"/>
  <c r="I42" i="4"/>
  <c r="H42" i="4"/>
  <c r="E42" i="4"/>
  <c r="U41" i="4"/>
  <c r="T41" i="4"/>
  <c r="S41" i="4"/>
  <c r="P41" i="4"/>
  <c r="J41" i="4"/>
  <c r="I41" i="4"/>
  <c r="H41" i="4"/>
  <c r="E41" i="4"/>
  <c r="U40" i="4"/>
  <c r="T40" i="4"/>
  <c r="S40" i="4"/>
  <c r="P40" i="4"/>
  <c r="J40" i="4"/>
  <c r="I40" i="4"/>
  <c r="H40" i="4"/>
  <c r="E40" i="4"/>
  <c r="U39" i="4"/>
  <c r="T39" i="4"/>
  <c r="S39" i="4"/>
  <c r="P39" i="4"/>
  <c r="J39" i="4"/>
  <c r="I39" i="4"/>
  <c r="H39" i="4"/>
  <c r="E39" i="4"/>
  <c r="U38" i="4"/>
  <c r="T38" i="4"/>
  <c r="S38" i="4"/>
  <c r="P38" i="4"/>
  <c r="J38" i="4"/>
  <c r="I38" i="4"/>
  <c r="H38" i="4"/>
  <c r="E38" i="4"/>
  <c r="U36" i="4"/>
  <c r="T36" i="4"/>
  <c r="S36" i="4"/>
  <c r="P36" i="4"/>
  <c r="J36" i="4"/>
  <c r="I36" i="4"/>
  <c r="H36" i="4"/>
  <c r="E36" i="4"/>
  <c r="U35" i="4"/>
  <c r="T35" i="4"/>
  <c r="S35" i="4"/>
  <c r="P35" i="4"/>
  <c r="J35" i="4"/>
  <c r="I35" i="4"/>
  <c r="H35" i="4"/>
  <c r="E35" i="4"/>
  <c r="U34" i="4"/>
  <c r="T34" i="4"/>
  <c r="S34" i="4"/>
  <c r="P34" i="4"/>
  <c r="J34" i="4"/>
  <c r="I34" i="4"/>
  <c r="H34" i="4"/>
  <c r="E34" i="4"/>
  <c r="U33" i="4"/>
  <c r="T33" i="4"/>
  <c r="S33" i="4"/>
  <c r="P33" i="4"/>
  <c r="J33" i="4"/>
  <c r="I33" i="4"/>
  <c r="H33" i="4"/>
  <c r="E33" i="4"/>
  <c r="U32" i="4"/>
  <c r="T32" i="4"/>
  <c r="S32" i="4"/>
  <c r="P32" i="4"/>
  <c r="J32" i="4"/>
  <c r="I32" i="4"/>
  <c r="H32" i="4"/>
  <c r="E32" i="4"/>
  <c r="U30" i="4"/>
  <c r="T30" i="4"/>
  <c r="S30" i="4"/>
  <c r="P30" i="4"/>
  <c r="J30" i="4"/>
  <c r="I30" i="4"/>
  <c r="H30" i="4"/>
  <c r="E30" i="4"/>
  <c r="U29" i="4"/>
  <c r="T29" i="4"/>
  <c r="S29" i="4"/>
  <c r="P29" i="4"/>
  <c r="J29" i="4"/>
  <c r="I29" i="4"/>
  <c r="H29" i="4"/>
  <c r="E29" i="4"/>
  <c r="U28" i="4"/>
  <c r="T28" i="4"/>
  <c r="S28" i="4"/>
  <c r="P28" i="4"/>
  <c r="J28" i="4"/>
  <c r="I28" i="4"/>
  <c r="H28" i="4"/>
  <c r="E28" i="4"/>
  <c r="U27" i="4"/>
  <c r="T27" i="4"/>
  <c r="S27" i="4"/>
  <c r="P27" i="4"/>
  <c r="J27" i="4"/>
  <c r="I27" i="4"/>
  <c r="H27" i="4"/>
  <c r="E27" i="4"/>
  <c r="U25" i="4"/>
  <c r="T25" i="4"/>
  <c r="S25" i="4"/>
  <c r="P25" i="4"/>
  <c r="J25" i="4"/>
  <c r="I25" i="4"/>
  <c r="H25" i="4"/>
  <c r="E25" i="4"/>
  <c r="U24" i="4"/>
  <c r="T24" i="4"/>
  <c r="S24" i="4"/>
  <c r="P24" i="4"/>
  <c r="J24" i="4"/>
  <c r="I24" i="4"/>
  <c r="H24" i="4"/>
  <c r="E24" i="4"/>
  <c r="U23" i="4"/>
  <c r="T23" i="4"/>
  <c r="S23" i="4"/>
  <c r="P23" i="4"/>
  <c r="J23" i="4"/>
  <c r="I23" i="4"/>
  <c r="H23" i="4"/>
  <c r="E23" i="4"/>
  <c r="U22" i="4"/>
  <c r="T22" i="4"/>
  <c r="S22" i="4"/>
  <c r="P22" i="4"/>
  <c r="J22" i="4"/>
  <c r="I22" i="4"/>
  <c r="H22" i="4"/>
  <c r="E22" i="4"/>
  <c r="U21" i="4"/>
  <c r="T21" i="4"/>
  <c r="S21" i="4"/>
  <c r="P21" i="4"/>
  <c r="J21" i="4"/>
  <c r="I21" i="4"/>
  <c r="H21" i="4"/>
  <c r="E21" i="4"/>
  <c r="U19" i="4"/>
  <c r="T19" i="4"/>
  <c r="S19" i="4"/>
  <c r="P19" i="4"/>
  <c r="J19" i="4"/>
  <c r="I19" i="4"/>
  <c r="H19" i="4"/>
  <c r="E19" i="4"/>
  <c r="U18" i="4"/>
  <c r="T18" i="4"/>
  <c r="S18" i="4"/>
  <c r="P18" i="4"/>
  <c r="J18" i="4"/>
  <c r="I18" i="4"/>
  <c r="H18" i="4"/>
  <c r="E18" i="4"/>
  <c r="U16" i="4"/>
  <c r="T16" i="4"/>
  <c r="S16" i="4"/>
  <c r="P16" i="4"/>
  <c r="J16" i="4"/>
  <c r="I16" i="4"/>
  <c r="H16" i="4"/>
  <c r="E16" i="4"/>
  <c r="U15" i="4"/>
  <c r="T15" i="4"/>
  <c r="S15" i="4"/>
  <c r="P15" i="4"/>
  <c r="J15" i="4"/>
  <c r="I15" i="4"/>
  <c r="H15" i="4"/>
  <c r="E15" i="4"/>
  <c r="U14" i="4"/>
  <c r="T14" i="4"/>
  <c r="S14" i="4"/>
  <c r="P14" i="4"/>
  <c r="J14" i="4"/>
  <c r="I14" i="4"/>
  <c r="H14" i="4"/>
  <c r="E14" i="4"/>
  <c r="U13" i="4"/>
  <c r="T13" i="4"/>
  <c r="S13" i="4"/>
  <c r="P13" i="4"/>
  <c r="J13" i="4"/>
  <c r="I13" i="4"/>
  <c r="H13" i="4"/>
  <c r="E13" i="4"/>
  <c r="U11" i="4"/>
  <c r="T11" i="4"/>
  <c r="S11" i="4"/>
  <c r="P11" i="4"/>
  <c r="J11" i="4"/>
  <c r="I11" i="4"/>
  <c r="H11" i="4"/>
  <c r="E11" i="4"/>
  <c r="U10" i="4"/>
  <c r="T10" i="4"/>
  <c r="S10" i="4"/>
  <c r="P10" i="4"/>
  <c r="J10" i="4"/>
  <c r="I10" i="4"/>
  <c r="H10" i="4"/>
  <c r="E10" i="4"/>
  <c r="U9" i="4"/>
  <c r="T9" i="4"/>
  <c r="S9" i="4"/>
  <c r="P9" i="4"/>
  <c r="J9" i="4"/>
  <c r="I9" i="4"/>
  <c r="H9" i="4"/>
  <c r="E9" i="4"/>
  <c r="U7" i="4"/>
  <c r="T7" i="4"/>
  <c r="S7" i="4"/>
  <c r="P7" i="4"/>
  <c r="J7" i="4"/>
  <c r="I7" i="4"/>
  <c r="H7" i="4"/>
  <c r="E7" i="4"/>
  <c r="U6" i="4"/>
  <c r="T6" i="4"/>
  <c r="S6" i="4"/>
  <c r="P6" i="4"/>
  <c r="J6" i="4"/>
  <c r="I6" i="4"/>
  <c r="H6" i="4"/>
  <c r="E6" i="4"/>
  <c r="B110" i="3"/>
  <c r="B109" i="3"/>
  <c r="B108" i="3"/>
  <c r="B107" i="3"/>
  <c r="B106" i="3"/>
  <c r="B105" i="3"/>
  <c r="B104" i="3"/>
  <c r="B103" i="3"/>
  <c r="B99" i="3"/>
  <c r="B98" i="3"/>
  <c r="B97" i="3"/>
  <c r="B96" i="3"/>
  <c r="B95" i="3"/>
  <c r="B94" i="3"/>
  <c r="B90" i="3"/>
  <c r="B89" i="3"/>
  <c r="B88" i="3"/>
  <c r="B87" i="3"/>
  <c r="B86" i="3"/>
  <c r="B85" i="3"/>
  <c r="B84" i="3"/>
  <c r="B83" i="3"/>
  <c r="B82" i="3"/>
  <c r="J73" i="3"/>
  <c r="I73" i="3"/>
  <c r="G73" i="3"/>
  <c r="F73" i="3"/>
  <c r="D73" i="3"/>
  <c r="C73" i="3"/>
  <c r="M72" i="3"/>
  <c r="G110" i="3" s="1"/>
  <c r="L72" i="3"/>
  <c r="F110" i="3" s="1"/>
  <c r="K72" i="3"/>
  <c r="H72" i="3"/>
  <c r="E72" i="3"/>
  <c r="B72" i="3"/>
  <c r="M71" i="3"/>
  <c r="G109" i="3" s="1"/>
  <c r="L71" i="3"/>
  <c r="F109" i="3" s="1"/>
  <c r="K71" i="3"/>
  <c r="H71" i="3"/>
  <c r="E71" i="3"/>
  <c r="B71" i="3"/>
  <c r="M70" i="3"/>
  <c r="G108" i="3" s="1"/>
  <c r="L70" i="3"/>
  <c r="F108" i="3" s="1"/>
  <c r="K70" i="3"/>
  <c r="H70" i="3"/>
  <c r="E70" i="3"/>
  <c r="B70" i="3"/>
  <c r="M69" i="3"/>
  <c r="G107" i="3" s="1"/>
  <c r="L69" i="3"/>
  <c r="K69" i="3"/>
  <c r="H69" i="3"/>
  <c r="E69" i="3"/>
  <c r="B69" i="3"/>
  <c r="M68" i="3"/>
  <c r="G106" i="3" s="1"/>
  <c r="L68" i="3"/>
  <c r="F106" i="3" s="1"/>
  <c r="K68" i="3"/>
  <c r="H68" i="3"/>
  <c r="E68" i="3"/>
  <c r="B68" i="3"/>
  <c r="M67" i="3"/>
  <c r="L67" i="3"/>
  <c r="K67" i="3"/>
  <c r="H67" i="3"/>
  <c r="E67" i="3"/>
  <c r="B67" i="3"/>
  <c r="M66" i="3"/>
  <c r="L66" i="3"/>
  <c r="F104" i="3" s="1"/>
  <c r="K66" i="3"/>
  <c r="H66" i="3"/>
  <c r="E66" i="3"/>
  <c r="B66" i="3"/>
  <c r="M65" i="3"/>
  <c r="G103" i="3" s="1"/>
  <c r="L65" i="3"/>
  <c r="F103" i="3" s="1"/>
  <c r="K65" i="3"/>
  <c r="H65" i="3"/>
  <c r="E65" i="3"/>
  <c r="B65" i="3"/>
  <c r="J62" i="3"/>
  <c r="I62" i="3"/>
  <c r="G62" i="3"/>
  <c r="F62" i="3"/>
  <c r="D62" i="3"/>
  <c r="C62" i="3"/>
  <c r="M61" i="3"/>
  <c r="G99" i="3" s="1"/>
  <c r="L61" i="3"/>
  <c r="K61" i="3"/>
  <c r="H61" i="3"/>
  <c r="E61" i="3"/>
  <c r="B61" i="3"/>
  <c r="M60" i="3"/>
  <c r="G98" i="3" s="1"/>
  <c r="L60" i="3"/>
  <c r="K60" i="3"/>
  <c r="H60" i="3"/>
  <c r="E60" i="3"/>
  <c r="B60" i="3"/>
  <c r="M59" i="3"/>
  <c r="G97" i="3" s="1"/>
  <c r="L59" i="3"/>
  <c r="F97" i="3" s="1"/>
  <c r="K59" i="3"/>
  <c r="H59" i="3"/>
  <c r="E59" i="3"/>
  <c r="B59" i="3"/>
  <c r="M58" i="3"/>
  <c r="G96" i="3" s="1"/>
  <c r="L58" i="3"/>
  <c r="F96" i="3" s="1"/>
  <c r="K58" i="3"/>
  <c r="H58" i="3"/>
  <c r="E58" i="3"/>
  <c r="B58" i="3"/>
  <c r="M57" i="3"/>
  <c r="G95" i="3" s="1"/>
  <c r="L57" i="3"/>
  <c r="K57" i="3"/>
  <c r="H57" i="3"/>
  <c r="E57" i="3"/>
  <c r="B57" i="3"/>
  <c r="M56" i="3"/>
  <c r="G94" i="3" s="1"/>
  <c r="L56" i="3"/>
  <c r="K56" i="3"/>
  <c r="H56" i="3"/>
  <c r="E56" i="3"/>
  <c r="B56" i="3"/>
  <c r="J53" i="3"/>
  <c r="I53" i="3"/>
  <c r="G53" i="3"/>
  <c r="F53" i="3"/>
  <c r="D53" i="3"/>
  <c r="C53" i="3"/>
  <c r="M52" i="3"/>
  <c r="G90" i="3" s="1"/>
  <c r="L52" i="3"/>
  <c r="K52" i="3"/>
  <c r="H52" i="3"/>
  <c r="E52" i="3"/>
  <c r="B52" i="3"/>
  <c r="M51" i="3"/>
  <c r="L51" i="3"/>
  <c r="F89" i="3" s="1"/>
  <c r="K51" i="3"/>
  <c r="H51" i="3"/>
  <c r="E51" i="3"/>
  <c r="B51" i="3"/>
  <c r="M50" i="3"/>
  <c r="G88" i="3" s="1"/>
  <c r="L50" i="3"/>
  <c r="K50" i="3"/>
  <c r="H50" i="3"/>
  <c r="E50" i="3"/>
  <c r="B50" i="3"/>
  <c r="M49" i="3"/>
  <c r="G87" i="3" s="1"/>
  <c r="L49" i="3"/>
  <c r="F87" i="3" s="1"/>
  <c r="K49" i="3"/>
  <c r="H49" i="3"/>
  <c r="E49" i="3"/>
  <c r="B49" i="3"/>
  <c r="M48" i="3"/>
  <c r="G86" i="3" s="1"/>
  <c r="L48" i="3"/>
  <c r="K48" i="3"/>
  <c r="H48" i="3"/>
  <c r="E48" i="3"/>
  <c r="B48" i="3"/>
  <c r="M47" i="3"/>
  <c r="G85" i="3" s="1"/>
  <c r="L47" i="3"/>
  <c r="F85" i="3" s="1"/>
  <c r="K47" i="3"/>
  <c r="H47" i="3"/>
  <c r="E47" i="3"/>
  <c r="B47" i="3"/>
  <c r="M46" i="3"/>
  <c r="G84" i="3" s="1"/>
  <c r="L46" i="3"/>
  <c r="K46" i="3"/>
  <c r="H46" i="3"/>
  <c r="E46" i="3"/>
  <c r="B46" i="3"/>
  <c r="M45" i="3"/>
  <c r="G83" i="3" s="1"/>
  <c r="L45" i="3"/>
  <c r="F83" i="3" s="1"/>
  <c r="K45" i="3"/>
  <c r="H45" i="3"/>
  <c r="E45" i="3"/>
  <c r="M44" i="3"/>
  <c r="G82" i="3" s="1"/>
  <c r="L44" i="3"/>
  <c r="K44" i="3"/>
  <c r="H44" i="3"/>
  <c r="E44" i="3"/>
  <c r="B44" i="3"/>
  <c r="G35" i="3"/>
  <c r="F35" i="3"/>
  <c r="D35" i="3"/>
  <c r="C35" i="3"/>
  <c r="J34" i="3"/>
  <c r="D110" i="3" s="1"/>
  <c r="I34" i="3"/>
  <c r="H34" i="3"/>
  <c r="E34" i="3"/>
  <c r="J33" i="3"/>
  <c r="I33" i="3"/>
  <c r="C109" i="3" s="1"/>
  <c r="H33" i="3"/>
  <c r="E33" i="3"/>
  <c r="J32" i="3"/>
  <c r="D108" i="3" s="1"/>
  <c r="I32" i="3"/>
  <c r="C108" i="3" s="1"/>
  <c r="H32" i="3"/>
  <c r="E32" i="3"/>
  <c r="J31" i="3"/>
  <c r="D107" i="3" s="1"/>
  <c r="I31" i="3"/>
  <c r="H31" i="3"/>
  <c r="E31" i="3"/>
  <c r="J30" i="3"/>
  <c r="D106" i="3" s="1"/>
  <c r="I30" i="3"/>
  <c r="H30" i="3"/>
  <c r="E30" i="3"/>
  <c r="J29" i="3"/>
  <c r="D105" i="3" s="1"/>
  <c r="I29" i="3"/>
  <c r="C105" i="3" s="1"/>
  <c r="H29" i="3"/>
  <c r="E29" i="3"/>
  <c r="J28" i="3"/>
  <c r="D104" i="3" s="1"/>
  <c r="I28" i="3"/>
  <c r="C104" i="3" s="1"/>
  <c r="H28" i="3"/>
  <c r="E28" i="3"/>
  <c r="J27" i="3"/>
  <c r="D103" i="3" s="1"/>
  <c r="I27" i="3"/>
  <c r="H27" i="3"/>
  <c r="E27" i="3"/>
  <c r="G24" i="3"/>
  <c r="F24" i="3"/>
  <c r="D24" i="3"/>
  <c r="C24" i="3"/>
  <c r="J23" i="3"/>
  <c r="D99" i="3" s="1"/>
  <c r="I23" i="3"/>
  <c r="C99" i="3" s="1"/>
  <c r="H23" i="3"/>
  <c r="E23" i="3"/>
  <c r="J22" i="3"/>
  <c r="D98" i="3" s="1"/>
  <c r="I22" i="3"/>
  <c r="C98" i="3" s="1"/>
  <c r="H22" i="3"/>
  <c r="E22" i="3"/>
  <c r="J21" i="3"/>
  <c r="D97" i="3" s="1"/>
  <c r="I21" i="3"/>
  <c r="C97" i="3" s="1"/>
  <c r="H21" i="3"/>
  <c r="E21" i="3"/>
  <c r="J20" i="3"/>
  <c r="D96" i="3" s="1"/>
  <c r="I20" i="3"/>
  <c r="C96" i="3" s="1"/>
  <c r="H20" i="3"/>
  <c r="E20" i="3"/>
  <c r="J19" i="3"/>
  <c r="D95" i="3" s="1"/>
  <c r="I19" i="3"/>
  <c r="C95" i="3" s="1"/>
  <c r="H19" i="3"/>
  <c r="E19" i="3"/>
  <c r="J18" i="3"/>
  <c r="D94" i="3" s="1"/>
  <c r="I18" i="3"/>
  <c r="C94" i="3" s="1"/>
  <c r="H18" i="3"/>
  <c r="E18" i="3"/>
  <c r="G15" i="3"/>
  <c r="F15" i="3"/>
  <c r="D15" i="3"/>
  <c r="C15" i="3"/>
  <c r="J14" i="3"/>
  <c r="D90" i="3" s="1"/>
  <c r="I14" i="3"/>
  <c r="C90" i="3" s="1"/>
  <c r="H14" i="3"/>
  <c r="E14" i="3"/>
  <c r="J13" i="3"/>
  <c r="D89" i="3" s="1"/>
  <c r="I13" i="3"/>
  <c r="C89" i="3" s="1"/>
  <c r="H13" i="3"/>
  <c r="E13" i="3"/>
  <c r="J12" i="3"/>
  <c r="D88" i="3" s="1"/>
  <c r="I12" i="3"/>
  <c r="H12" i="3"/>
  <c r="E12" i="3"/>
  <c r="J11" i="3"/>
  <c r="D87" i="3" s="1"/>
  <c r="I11" i="3"/>
  <c r="C87" i="3" s="1"/>
  <c r="H11" i="3"/>
  <c r="E11" i="3"/>
  <c r="J10" i="3"/>
  <c r="D86" i="3" s="1"/>
  <c r="I10" i="3"/>
  <c r="H10" i="3"/>
  <c r="E10" i="3"/>
  <c r="J9" i="3"/>
  <c r="D85" i="3" s="1"/>
  <c r="I9" i="3"/>
  <c r="C85" i="3" s="1"/>
  <c r="H9" i="3"/>
  <c r="E9" i="3"/>
  <c r="J8" i="3"/>
  <c r="D84" i="3" s="1"/>
  <c r="I8" i="3"/>
  <c r="H8" i="3"/>
  <c r="E8" i="3"/>
  <c r="J7" i="3"/>
  <c r="D83" i="3" s="1"/>
  <c r="I7" i="3"/>
  <c r="C83" i="3" s="1"/>
  <c r="H7" i="3"/>
  <c r="E7" i="3"/>
  <c r="J6" i="3"/>
  <c r="D82" i="3" s="1"/>
  <c r="I6" i="3"/>
  <c r="H6" i="3"/>
  <c r="E6" i="3"/>
  <c r="J14" i="2"/>
  <c r="J16" i="2" s="1"/>
  <c r="I14" i="2"/>
  <c r="I16" i="2" s="1"/>
  <c r="G14" i="2"/>
  <c r="G16" i="2" s="1"/>
  <c r="F14" i="2"/>
  <c r="D14" i="2"/>
  <c r="D16" i="2" s="1"/>
  <c r="C14" i="2"/>
  <c r="M13" i="2"/>
  <c r="L13" i="2"/>
  <c r="K13" i="2"/>
  <c r="H13" i="2"/>
  <c r="E13" i="2"/>
  <c r="M12" i="2"/>
  <c r="L12" i="2"/>
  <c r="K12" i="2"/>
  <c r="H12" i="2"/>
  <c r="E12" i="2"/>
  <c r="M11" i="2"/>
  <c r="L11" i="2"/>
  <c r="K11" i="2"/>
  <c r="H11" i="2"/>
  <c r="E11" i="2"/>
  <c r="M10" i="2"/>
  <c r="L10" i="2"/>
  <c r="K10" i="2"/>
  <c r="H10" i="2"/>
  <c r="E10" i="2"/>
  <c r="M9" i="2"/>
  <c r="L9" i="2"/>
  <c r="K9" i="2"/>
  <c r="H9" i="2"/>
  <c r="E9" i="2"/>
  <c r="M8" i="2"/>
  <c r="L8" i="2"/>
  <c r="K8" i="2"/>
  <c r="H8" i="2"/>
  <c r="E8" i="2"/>
  <c r="M7" i="2"/>
  <c r="L7" i="2"/>
  <c r="K7" i="2"/>
  <c r="H7" i="2"/>
  <c r="E7" i="2"/>
  <c r="M6" i="2"/>
  <c r="L6" i="2"/>
  <c r="K6" i="2"/>
  <c r="H6" i="2"/>
  <c r="E6" i="2"/>
  <c r="M5" i="2"/>
  <c r="L5" i="2"/>
  <c r="K5" i="2"/>
  <c r="H5" i="2"/>
  <c r="E5" i="2"/>
  <c r="D89" i="1"/>
  <c r="C89" i="1"/>
  <c r="E88" i="1"/>
  <c r="E87" i="1"/>
  <c r="E86" i="1"/>
  <c r="E85" i="1"/>
  <c r="D81" i="1"/>
  <c r="C81" i="1"/>
  <c r="E80" i="1"/>
  <c r="E79" i="1"/>
  <c r="E78" i="1"/>
  <c r="E77" i="1"/>
  <c r="E76" i="1"/>
  <c r="E75" i="1"/>
  <c r="E74" i="1"/>
  <c r="E73" i="1"/>
  <c r="E72" i="1"/>
  <c r="E70" i="1"/>
  <c r="E69" i="1"/>
  <c r="E68" i="1"/>
  <c r="E67" i="1"/>
  <c r="E66" i="1"/>
  <c r="E65" i="1"/>
  <c r="E64" i="1"/>
  <c r="E63" i="1"/>
  <c r="E62" i="1"/>
  <c r="E60" i="1"/>
  <c r="E59" i="1"/>
  <c r="E58" i="1"/>
  <c r="E57" i="1"/>
  <c r="E56" i="1"/>
  <c r="E55" i="1"/>
  <c r="E54" i="1"/>
  <c r="E53" i="1"/>
  <c r="E52" i="1"/>
  <c r="E51" i="1"/>
  <c r="E50" i="1"/>
  <c r="E49" i="1"/>
  <c r="E48" i="1"/>
  <c r="E47" i="1"/>
  <c r="E46" i="1"/>
  <c r="E45" i="1"/>
  <c r="E44" i="1"/>
  <c r="E43" i="1"/>
  <c r="D39" i="1"/>
  <c r="C39" i="1"/>
  <c r="E38" i="1"/>
  <c r="E37" i="1"/>
  <c r="E36" i="1"/>
  <c r="E35" i="1"/>
  <c r="E34" i="1"/>
  <c r="E33" i="1"/>
  <c r="E31" i="1"/>
  <c r="E30" i="1"/>
  <c r="E29" i="1"/>
  <c r="E28" i="1"/>
  <c r="E27" i="1"/>
  <c r="E26" i="1"/>
  <c r="E24" i="1"/>
  <c r="E23" i="1"/>
  <c r="E22" i="1"/>
  <c r="E21" i="1"/>
  <c r="E20" i="1"/>
  <c r="E19" i="1"/>
  <c r="E18" i="1"/>
  <c r="E17" i="1"/>
  <c r="E16" i="1"/>
  <c r="E15" i="1"/>
  <c r="E14" i="1"/>
  <c r="E13" i="1"/>
  <c r="E12" i="1"/>
  <c r="E11" i="1"/>
  <c r="E10" i="1"/>
  <c r="E9" i="1"/>
  <c r="E8" i="1"/>
  <c r="E7" i="1"/>
  <c r="E6" i="1"/>
  <c r="T21" i="8"/>
  <c r="T23" i="8" s="1"/>
  <c r="S21" i="8"/>
  <c r="O21" i="8"/>
  <c r="O23" i="8" s="1"/>
  <c r="N21" i="8"/>
  <c r="J21" i="8"/>
  <c r="J23" i="8" s="1"/>
  <c r="I21" i="8"/>
  <c r="I23" i="8" s="1"/>
  <c r="E21" i="8"/>
  <c r="D21" i="8"/>
  <c r="D23" i="8" s="1"/>
  <c r="W20" i="8"/>
  <c r="V20" i="8"/>
  <c r="U20" i="8"/>
  <c r="P20" i="8"/>
  <c r="K20" i="8"/>
  <c r="F20" i="8"/>
  <c r="W19" i="8"/>
  <c r="V19" i="8"/>
  <c r="U19" i="8"/>
  <c r="P19" i="8"/>
  <c r="K19" i="8"/>
  <c r="F19" i="8"/>
  <c r="W18" i="8"/>
  <c r="V18" i="8"/>
  <c r="U18" i="8"/>
  <c r="P18" i="8"/>
  <c r="K18" i="8"/>
  <c r="F18" i="8"/>
  <c r="W17" i="8"/>
  <c r="V17" i="8"/>
  <c r="U17" i="8"/>
  <c r="P17" i="8"/>
  <c r="K17" i="8"/>
  <c r="F17" i="8"/>
  <c r="W16" i="8"/>
  <c r="V16" i="8"/>
  <c r="U16" i="8"/>
  <c r="P16" i="8"/>
  <c r="K16" i="8"/>
  <c r="F16" i="8"/>
  <c r="W15" i="8"/>
  <c r="V15" i="8"/>
  <c r="U15" i="8"/>
  <c r="P15" i="8"/>
  <c r="K15" i="8"/>
  <c r="F15" i="8"/>
  <c r="W14" i="8"/>
  <c r="V14" i="8"/>
  <c r="U14" i="8"/>
  <c r="P14" i="8"/>
  <c r="K14" i="8"/>
  <c r="F14" i="8"/>
  <c r="W13" i="8"/>
  <c r="V13" i="8"/>
  <c r="U13" i="8"/>
  <c r="P13" i="8"/>
  <c r="K13" i="8"/>
  <c r="F13" i="8"/>
  <c r="W12" i="8"/>
  <c r="V12" i="8"/>
  <c r="U12" i="8"/>
  <c r="P12" i="8"/>
  <c r="K12" i="8"/>
  <c r="F12" i="8"/>
  <c r="W11" i="8"/>
  <c r="V11" i="8"/>
  <c r="U11" i="8"/>
  <c r="P11" i="8"/>
  <c r="K11" i="8"/>
  <c r="F11" i="8"/>
  <c r="W10" i="8"/>
  <c r="V10" i="8"/>
  <c r="U10" i="8"/>
  <c r="P10" i="8"/>
  <c r="K10" i="8"/>
  <c r="F10" i="8"/>
  <c r="W9" i="8"/>
  <c r="V9" i="8"/>
  <c r="U9" i="8"/>
  <c r="P9" i="8"/>
  <c r="K9" i="8"/>
  <c r="F9" i="8"/>
  <c r="W8" i="8"/>
  <c r="V8" i="8"/>
  <c r="U8" i="8"/>
  <c r="P8" i="8"/>
  <c r="K8" i="8"/>
  <c r="F8" i="8"/>
  <c r="W7" i="8"/>
  <c r="V7" i="8"/>
  <c r="U7" i="8"/>
  <c r="P7" i="8"/>
  <c r="K7" i="8"/>
  <c r="F7" i="8"/>
  <c r="W6" i="8"/>
  <c r="V6" i="8"/>
  <c r="U6" i="8"/>
  <c r="P6" i="8"/>
  <c r="K6" i="8"/>
  <c r="F6" i="8"/>
  <c r="W5" i="8"/>
  <c r="V5" i="8"/>
  <c r="U5" i="8"/>
  <c r="P5" i="8"/>
  <c r="K5" i="8"/>
  <c r="F5" i="8"/>
  <c r="K7" i="4" l="1"/>
  <c r="V16" i="4"/>
  <c r="V23" i="4"/>
  <c r="E81" i="1"/>
  <c r="V7" i="6"/>
  <c r="K10" i="6"/>
  <c r="V19" i="6"/>
  <c r="K23" i="6"/>
  <c r="X14" i="8"/>
  <c r="K12" i="3"/>
  <c r="H24" i="3"/>
  <c r="K31" i="3"/>
  <c r="H97" i="3"/>
  <c r="V10" i="4"/>
  <c r="F42" i="5"/>
  <c r="H62" i="3"/>
  <c r="N67" i="3"/>
  <c r="G47" i="4"/>
  <c r="V9" i="7"/>
  <c r="K13" i="7"/>
  <c r="V15" i="7"/>
  <c r="V20" i="7"/>
  <c r="K24" i="7"/>
  <c r="V26" i="7"/>
  <c r="V32" i="7"/>
  <c r="K36" i="7"/>
  <c r="V38" i="7"/>
  <c r="P45" i="4"/>
  <c r="K6" i="4"/>
  <c r="V9" i="4"/>
  <c r="K25" i="4"/>
  <c r="V28" i="4"/>
  <c r="K32" i="4"/>
  <c r="V34" i="4"/>
  <c r="K38" i="4"/>
  <c r="V40" i="4"/>
  <c r="K43" i="4"/>
  <c r="S45" i="4"/>
  <c r="H109" i="3"/>
  <c r="V6" i="5"/>
  <c r="K10" i="5"/>
  <c r="V12" i="5"/>
  <c r="K16" i="5"/>
  <c r="P28" i="6"/>
  <c r="V37" i="5"/>
  <c r="V30" i="5"/>
  <c r="K34" i="5"/>
  <c r="V13" i="6"/>
  <c r="V11" i="7"/>
  <c r="V17" i="7"/>
  <c r="V23" i="7"/>
  <c r="K26" i="7"/>
  <c r="V28" i="7"/>
  <c r="V35" i="7"/>
  <c r="K38" i="7"/>
  <c r="V7" i="5"/>
  <c r="K11" i="5"/>
  <c r="V14" i="5"/>
  <c r="K17" i="5"/>
  <c r="V19" i="5"/>
  <c r="V26" i="5"/>
  <c r="K29" i="5"/>
  <c r="V31" i="5"/>
  <c r="K7" i="6"/>
  <c r="V9" i="6"/>
  <c r="K13" i="6"/>
  <c r="V15" i="6"/>
  <c r="V22" i="6"/>
  <c r="K26" i="6"/>
  <c r="K11" i="7"/>
  <c r="K35" i="7"/>
  <c r="P40" i="5"/>
  <c r="D47" i="4"/>
  <c r="C47" i="4"/>
  <c r="V11" i="4"/>
  <c r="V18" i="4"/>
  <c r="K22" i="4"/>
  <c r="V24" i="4"/>
  <c r="K28" i="4"/>
  <c r="V30" i="4"/>
  <c r="K34" i="4"/>
  <c r="V10" i="6"/>
  <c r="K21" i="6"/>
  <c r="V23" i="6"/>
  <c r="E39" i="7"/>
  <c r="N8" i="2"/>
  <c r="N12" i="2"/>
  <c r="I83" i="3"/>
  <c r="V8" i="6"/>
  <c r="V14" i="6"/>
  <c r="K18" i="6"/>
  <c r="V21" i="6"/>
  <c r="V27" i="6"/>
  <c r="X8" i="8"/>
  <c r="K8" i="3"/>
  <c r="D30" i="6"/>
  <c r="X11" i="8"/>
  <c r="P21" i="8"/>
  <c r="N44" i="3"/>
  <c r="H106" i="3"/>
  <c r="K27" i="4"/>
  <c r="V35" i="4"/>
  <c r="X5" i="8"/>
  <c r="X15" i="8"/>
  <c r="N5" i="2"/>
  <c r="N9" i="2"/>
  <c r="N13" i="2"/>
  <c r="N48" i="3"/>
  <c r="N60" i="3"/>
  <c r="E62" i="3"/>
  <c r="J99" i="3"/>
  <c r="I108" i="3"/>
  <c r="N6" i="2"/>
  <c r="N10" i="2"/>
  <c r="K11" i="4"/>
  <c r="V14" i="4"/>
  <c r="V21" i="4"/>
  <c r="K24" i="4"/>
  <c r="K30" i="4"/>
  <c r="V33" i="4"/>
  <c r="K36" i="4"/>
  <c r="V39" i="4"/>
  <c r="V44" i="4"/>
  <c r="G42" i="5"/>
  <c r="X12" i="8"/>
  <c r="E14" i="2"/>
  <c r="E85" i="3"/>
  <c r="I104" i="3"/>
  <c r="N57" i="3"/>
  <c r="N69" i="3"/>
  <c r="K8" i="5"/>
  <c r="K15" i="5"/>
  <c r="V17" i="5"/>
  <c r="V23" i="5"/>
  <c r="K27" i="5"/>
  <c r="V29" i="5"/>
  <c r="V35" i="5"/>
  <c r="N66" i="3"/>
  <c r="V6" i="6"/>
  <c r="V18" i="6"/>
  <c r="V25" i="6"/>
  <c r="H28" i="6"/>
  <c r="X6" i="8"/>
  <c r="X16" i="8"/>
  <c r="K10" i="3"/>
  <c r="E53" i="3"/>
  <c r="N61" i="3"/>
  <c r="K73" i="3"/>
  <c r="K6" i="5"/>
  <c r="V8" i="5"/>
  <c r="K12" i="5"/>
  <c r="K18" i="5"/>
  <c r="V21" i="5"/>
  <c r="K24" i="5"/>
  <c r="V27" i="5"/>
  <c r="K30" i="5"/>
  <c r="V32" i="5"/>
  <c r="K37" i="5"/>
  <c r="V39" i="5"/>
  <c r="X13" i="8"/>
  <c r="E35" i="3"/>
  <c r="N46" i="3"/>
  <c r="C74" i="3"/>
  <c r="X19" i="8"/>
  <c r="H14" i="2"/>
  <c r="E15" i="3"/>
  <c r="F95" i="3"/>
  <c r="H95" i="3" s="1"/>
  <c r="V6" i="7"/>
  <c r="K10" i="7"/>
  <c r="V13" i="7"/>
  <c r="V18" i="7"/>
  <c r="V24" i="7"/>
  <c r="V30" i="7"/>
  <c r="K34" i="7"/>
  <c r="V36" i="7"/>
  <c r="H39" i="7"/>
  <c r="E98" i="3"/>
  <c r="V6" i="4"/>
  <c r="K10" i="4"/>
  <c r="V13" i="4"/>
  <c r="K16" i="4"/>
  <c r="V19" i="4"/>
  <c r="K23" i="4"/>
  <c r="V25" i="4"/>
  <c r="K29" i="4"/>
  <c r="V32" i="4"/>
  <c r="K35" i="4"/>
  <c r="V38" i="4"/>
  <c r="K41" i="4"/>
  <c r="V43" i="4"/>
  <c r="L73" i="3"/>
  <c r="J108" i="3"/>
  <c r="X7" i="8"/>
  <c r="X17" i="8"/>
  <c r="E24" i="3"/>
  <c r="N50" i="3"/>
  <c r="J88" i="3"/>
  <c r="K7" i="5"/>
  <c r="V10" i="5"/>
  <c r="K14" i="5"/>
  <c r="V16" i="5"/>
  <c r="V22" i="5"/>
  <c r="V28" i="5"/>
  <c r="K31" i="5"/>
  <c r="V34" i="5"/>
  <c r="S40" i="5"/>
  <c r="M73" i="3"/>
  <c r="K13" i="3"/>
  <c r="G100" i="3"/>
  <c r="J106" i="3"/>
  <c r="C88" i="3"/>
  <c r="E88" i="3" s="1"/>
  <c r="J96" i="3"/>
  <c r="K18" i="7"/>
  <c r="M14" i="2"/>
  <c r="M16" i="2" s="1"/>
  <c r="N51" i="3"/>
  <c r="K35" i="5"/>
  <c r="J97" i="3"/>
  <c r="X9" i="8"/>
  <c r="K32" i="5"/>
  <c r="J85" i="3"/>
  <c r="F36" i="3"/>
  <c r="K34" i="3"/>
  <c r="N52" i="3"/>
  <c r="H73" i="3"/>
  <c r="F88" i="3"/>
  <c r="H88" i="3" s="1"/>
  <c r="G104" i="3"/>
  <c r="J104" i="3" s="1"/>
  <c r="K7" i="7"/>
  <c r="V10" i="7"/>
  <c r="V16" i="7"/>
  <c r="K19" i="7"/>
  <c r="V22" i="7"/>
  <c r="V27" i="7"/>
  <c r="S39" i="7"/>
  <c r="G74" i="3"/>
  <c r="J84" i="3"/>
  <c r="D74" i="3"/>
  <c r="K9" i="7"/>
  <c r="G30" i="6"/>
  <c r="X20" i="8"/>
  <c r="N7" i="2"/>
  <c r="N11" i="2"/>
  <c r="K6" i="3"/>
  <c r="K33" i="4"/>
  <c r="V41" i="4"/>
  <c r="N47" i="3"/>
  <c r="V38" i="5"/>
  <c r="G36" i="3"/>
  <c r="K9" i="6"/>
  <c r="K15" i="6"/>
  <c r="J87" i="3"/>
  <c r="K30" i="3"/>
  <c r="H35" i="3"/>
  <c r="H53" i="3"/>
  <c r="C106" i="3"/>
  <c r="I106" i="3" s="1"/>
  <c r="E40" i="5"/>
  <c r="V14" i="7"/>
  <c r="K17" i="7"/>
  <c r="V19" i="7"/>
  <c r="V25" i="7"/>
  <c r="J110" i="3"/>
  <c r="J82" i="3"/>
  <c r="K6" i="7"/>
  <c r="K32" i="7"/>
  <c r="X10" i="8"/>
  <c r="H15" i="3"/>
  <c r="L62" i="3"/>
  <c r="G105" i="3"/>
  <c r="J105" i="3" s="1"/>
  <c r="K13" i="4"/>
  <c r="V15" i="4"/>
  <c r="K19" i="4"/>
  <c r="V22" i="4"/>
  <c r="V36" i="4"/>
  <c r="V42" i="4"/>
  <c r="H45" i="4"/>
  <c r="V18" i="5"/>
  <c r="K22" i="5"/>
  <c r="V24" i="5"/>
  <c r="K28" i="5"/>
  <c r="V11" i="6"/>
  <c r="E28" i="6"/>
  <c r="K33" i="3"/>
  <c r="K25" i="6"/>
  <c r="I15" i="3"/>
  <c r="K27" i="7"/>
  <c r="C91" i="1"/>
  <c r="K14" i="2"/>
  <c r="I24" i="3"/>
  <c r="U28" i="6"/>
  <c r="C30" i="6"/>
  <c r="K14" i="7"/>
  <c r="K19" i="5"/>
  <c r="F98" i="3"/>
  <c r="I98" i="3" s="1"/>
  <c r="J45" i="4"/>
  <c r="S28" i="6"/>
  <c r="D36" i="3"/>
  <c r="H108" i="3"/>
  <c r="E39" i="1"/>
  <c r="L14" i="2"/>
  <c r="L16" i="2" s="1"/>
  <c r="J24" i="3"/>
  <c r="N72" i="3"/>
  <c r="K14" i="4"/>
  <c r="C41" i="7"/>
  <c r="U21" i="8"/>
  <c r="K19" i="3"/>
  <c r="E73" i="3"/>
  <c r="F84" i="3"/>
  <c r="H84" i="3" s="1"/>
  <c r="G89" i="3"/>
  <c r="J89" i="3" s="1"/>
  <c r="F99" i="3"/>
  <c r="H99" i="3" s="1"/>
  <c r="V29" i="4"/>
  <c r="V11" i="5"/>
  <c r="K16" i="6"/>
  <c r="V26" i="6"/>
  <c r="F30" i="6"/>
  <c r="V7" i="7"/>
  <c r="K25" i="7"/>
  <c r="K31" i="7"/>
  <c r="V34" i="7"/>
  <c r="D41" i="7"/>
  <c r="K11" i="6"/>
  <c r="C86" i="3"/>
  <c r="E86" i="3" s="1"/>
  <c r="U40" i="5"/>
  <c r="K20" i="7"/>
  <c r="K11" i="3"/>
  <c r="K22" i="6"/>
  <c r="F105" i="3"/>
  <c r="I105" i="3" s="1"/>
  <c r="J86" i="3"/>
  <c r="F47" i="4"/>
  <c r="C16" i="2"/>
  <c r="E16" i="2" s="1"/>
  <c r="U45" i="4"/>
  <c r="E89" i="1"/>
  <c r="F16" i="2"/>
  <c r="H16" i="2" s="1"/>
  <c r="K9" i="3"/>
  <c r="E96" i="3"/>
  <c r="K27" i="3"/>
  <c r="C110" i="3"/>
  <c r="E110" i="3" s="1"/>
  <c r="V27" i="4"/>
  <c r="K39" i="4"/>
  <c r="K14" i="6"/>
  <c r="K28" i="7"/>
  <c r="C82" i="3"/>
  <c r="E82" i="3" s="1"/>
  <c r="U39" i="7"/>
  <c r="M53" i="3"/>
  <c r="F21" i="8"/>
  <c r="V7" i="4"/>
  <c r="J35" i="3"/>
  <c r="H85" i="3"/>
  <c r="I74" i="3"/>
  <c r="J40" i="5"/>
  <c r="V16" i="6"/>
  <c r="K23" i="7"/>
  <c r="V31" i="7"/>
  <c r="H83" i="3"/>
  <c r="K30" i="7"/>
  <c r="J83" i="3"/>
  <c r="K7" i="3"/>
  <c r="K16" i="7"/>
  <c r="D42" i="5"/>
  <c r="K19" i="6"/>
  <c r="K22" i="7"/>
  <c r="K23" i="8"/>
  <c r="E108" i="3"/>
  <c r="K38" i="5"/>
  <c r="J39" i="7"/>
  <c r="F90" i="3"/>
  <c r="H90" i="3" s="1"/>
  <c r="I28" i="6"/>
  <c r="K37" i="7"/>
  <c r="W21" i="8"/>
  <c r="W23" i="8" s="1"/>
  <c r="S23" i="8"/>
  <c r="U23" i="8" s="1"/>
  <c r="J90" i="3"/>
  <c r="J74" i="3"/>
  <c r="N70" i="3"/>
  <c r="K9" i="4"/>
  <c r="V15" i="5"/>
  <c r="K39" i="5"/>
  <c r="K6" i="6"/>
  <c r="K27" i="6"/>
  <c r="K15" i="7"/>
  <c r="V37" i="7"/>
  <c r="I97" i="3"/>
  <c r="E97" i="3"/>
  <c r="E105" i="3"/>
  <c r="D91" i="3"/>
  <c r="H103" i="3"/>
  <c r="E99" i="3"/>
  <c r="H110" i="3"/>
  <c r="I96" i="3"/>
  <c r="H96" i="3"/>
  <c r="E90" i="3"/>
  <c r="J94" i="3"/>
  <c r="X18" i="8"/>
  <c r="K15" i="4"/>
  <c r="K40" i="4"/>
  <c r="K21" i="5"/>
  <c r="J15" i="3"/>
  <c r="K21" i="3"/>
  <c r="J95" i="3"/>
  <c r="V21" i="8"/>
  <c r="I35" i="3"/>
  <c r="K53" i="3"/>
  <c r="N65" i="3"/>
  <c r="N71" i="3"/>
  <c r="E83" i="3"/>
  <c r="J103" i="3"/>
  <c r="C36" i="3"/>
  <c r="J28" i="6"/>
  <c r="K32" i="3"/>
  <c r="N45" i="3"/>
  <c r="F86" i="3"/>
  <c r="H86" i="3" s="1"/>
  <c r="J98" i="3"/>
  <c r="C103" i="3"/>
  <c r="N68" i="3"/>
  <c r="E45" i="4"/>
  <c r="F74" i="3"/>
  <c r="I40" i="5"/>
  <c r="G41" i="7"/>
  <c r="E23" i="8"/>
  <c r="F23" i="8" s="1"/>
  <c r="K28" i="3"/>
  <c r="N58" i="3"/>
  <c r="C84" i="3"/>
  <c r="I109" i="3"/>
  <c r="I45" i="4"/>
  <c r="L53" i="3"/>
  <c r="H40" i="5"/>
  <c r="K8" i="6"/>
  <c r="D109" i="3"/>
  <c r="J109" i="3" s="1"/>
  <c r="D91" i="1"/>
  <c r="K23" i="3"/>
  <c r="I89" i="3"/>
  <c r="E104" i="3"/>
  <c r="P39" i="7"/>
  <c r="E95" i="3"/>
  <c r="E89" i="3"/>
  <c r="E94" i="3"/>
  <c r="K29" i="3"/>
  <c r="N56" i="3"/>
  <c r="I87" i="3"/>
  <c r="C100" i="3"/>
  <c r="J107" i="3"/>
  <c r="T45" i="4"/>
  <c r="T39" i="7"/>
  <c r="N49" i="3"/>
  <c r="N59" i="3"/>
  <c r="K62" i="3"/>
  <c r="F82" i="3"/>
  <c r="K21" i="4"/>
  <c r="K44" i="4"/>
  <c r="K26" i="5"/>
  <c r="T40" i="5"/>
  <c r="K14" i="3"/>
  <c r="H87" i="3"/>
  <c r="M62" i="3"/>
  <c r="C107" i="3"/>
  <c r="K20" i="3"/>
  <c r="K16" i="2"/>
  <c r="K18" i="4"/>
  <c r="K42" i="4"/>
  <c r="K23" i="5"/>
  <c r="I39" i="7"/>
  <c r="D100" i="3"/>
  <c r="N23" i="8"/>
  <c r="P23" i="8" s="1"/>
  <c r="F94" i="3"/>
  <c r="E87" i="3"/>
  <c r="F107" i="3"/>
  <c r="H107" i="3" s="1"/>
  <c r="T28" i="6"/>
  <c r="K21" i="8"/>
  <c r="I85" i="3"/>
  <c r="C42" i="5"/>
  <c r="F41" i="7"/>
  <c r="K18" i="3"/>
  <c r="K22" i="3"/>
  <c r="H42" i="5" l="1"/>
  <c r="H47" i="4"/>
  <c r="K83" i="3"/>
  <c r="E30" i="6"/>
  <c r="E47" i="4"/>
  <c r="K108" i="3"/>
  <c r="N73" i="3"/>
  <c r="J41" i="7"/>
  <c r="E74" i="3"/>
  <c r="K104" i="3"/>
  <c r="J42" i="5"/>
  <c r="F111" i="3"/>
  <c r="K87" i="3"/>
  <c r="V40" i="5"/>
  <c r="J47" i="4"/>
  <c r="K106" i="3"/>
  <c r="G111" i="3"/>
  <c r="K74" i="3"/>
  <c r="E42" i="5"/>
  <c r="K85" i="3"/>
  <c r="I99" i="3"/>
  <c r="K99" i="3" s="1"/>
  <c r="K24" i="3"/>
  <c r="H30" i="6"/>
  <c r="E91" i="1"/>
  <c r="E41" i="7"/>
  <c r="K97" i="3"/>
  <c r="I95" i="3"/>
  <c r="K95" i="3" s="1"/>
  <c r="M74" i="3"/>
  <c r="J91" i="3"/>
  <c r="H104" i="3"/>
  <c r="V28" i="6"/>
  <c r="H74" i="3"/>
  <c r="J36" i="3"/>
  <c r="N16" i="2"/>
  <c r="H36" i="3"/>
  <c r="I90" i="3"/>
  <c r="K90" i="3" s="1"/>
  <c r="I88" i="3"/>
  <c r="K88" i="3" s="1"/>
  <c r="H89" i="3"/>
  <c r="G91" i="3"/>
  <c r="V39" i="7"/>
  <c r="K96" i="3"/>
  <c r="V45" i="4"/>
  <c r="E106" i="3"/>
  <c r="J30" i="6"/>
  <c r="H98" i="3"/>
  <c r="H105" i="3"/>
  <c r="K98" i="3"/>
  <c r="K105" i="3"/>
  <c r="I30" i="6"/>
  <c r="I110" i="3"/>
  <c r="K110" i="3" s="1"/>
  <c r="K89" i="3"/>
  <c r="E36" i="3"/>
  <c r="N14" i="2"/>
  <c r="K35" i="3"/>
  <c r="H41" i="7"/>
  <c r="N62" i="3"/>
  <c r="F100" i="3"/>
  <c r="H100" i="3" s="1"/>
  <c r="H94" i="3"/>
  <c r="L74" i="3"/>
  <c r="N53" i="3"/>
  <c r="J100" i="3"/>
  <c r="H82" i="3"/>
  <c r="F91" i="3"/>
  <c r="I84" i="3"/>
  <c r="K84" i="3" s="1"/>
  <c r="E84" i="3"/>
  <c r="K39" i="7"/>
  <c r="I41" i="7"/>
  <c r="J111" i="3"/>
  <c r="V23" i="8"/>
  <c r="X23" i="8" s="1"/>
  <c r="X21" i="8"/>
  <c r="I103" i="3"/>
  <c r="E103" i="3"/>
  <c r="C111" i="3"/>
  <c r="I82" i="3"/>
  <c r="E100" i="3"/>
  <c r="I42" i="5"/>
  <c r="K40" i="5"/>
  <c r="E109" i="3"/>
  <c r="C91" i="3"/>
  <c r="K15" i="3"/>
  <c r="K45" i="4"/>
  <c r="I47" i="4"/>
  <c r="K109" i="3"/>
  <c r="K28" i="6"/>
  <c r="I107" i="3"/>
  <c r="K107" i="3" s="1"/>
  <c r="E107" i="3"/>
  <c r="D111" i="3"/>
  <c r="D112" i="3" s="1"/>
  <c r="I94" i="3"/>
  <c r="I86" i="3"/>
  <c r="K86" i="3" s="1"/>
  <c r="I36" i="3"/>
  <c r="G112" i="3" l="1"/>
  <c r="K47" i="4"/>
  <c r="H111" i="3"/>
  <c r="K42" i="5"/>
  <c r="K41" i="7"/>
  <c r="N74" i="3"/>
  <c r="K30" i="6"/>
  <c r="J112" i="3"/>
  <c r="K36" i="3"/>
  <c r="E111" i="3"/>
  <c r="K103" i="3"/>
  <c r="I111" i="3"/>
  <c r="K111" i="3" s="1"/>
  <c r="K94" i="3"/>
  <c r="I100" i="3"/>
  <c r="K100" i="3" s="1"/>
  <c r="C112" i="3"/>
  <c r="E112" i="3" s="1"/>
  <c r="E91" i="3"/>
  <c r="I91" i="3"/>
  <c r="K82" i="3"/>
  <c r="F112" i="3"/>
  <c r="H91" i="3"/>
  <c r="H112" i="3" l="1"/>
  <c r="K91" i="3"/>
  <c r="I112" i="3"/>
  <c r="K112" i="3" s="1"/>
</calcChain>
</file>

<file path=xl/sharedStrings.xml><?xml version="1.0" encoding="utf-8"?>
<sst xmlns="http://schemas.openxmlformats.org/spreadsheetml/2006/main" count="567" uniqueCount="306">
  <si>
    <t>英语真题阅读 正确率记录</t>
  </si>
  <si>
    <t>Text 1</t>
  </si>
  <si>
    <t>Text 2</t>
  </si>
  <si>
    <t>Text 3</t>
  </si>
  <si>
    <t>Text 4</t>
  </si>
  <si>
    <t>Text 合计</t>
  </si>
  <si>
    <t>年份</t>
  </si>
  <si>
    <t>日期</t>
  </si>
  <si>
    <t>用时</t>
  </si>
  <si>
    <t>总题数</t>
  </si>
  <si>
    <t>正确数</t>
  </si>
  <si>
    <t>正确率</t>
  </si>
  <si>
    <t>2011</t>
  </si>
  <si>
    <t>5.29</t>
  </si>
  <si>
    <t>5.30</t>
  </si>
  <si>
    <t>5.31</t>
  </si>
  <si>
    <t>6.1</t>
  </si>
  <si>
    <t>2012</t>
  </si>
  <si>
    <t>6.2</t>
  </si>
  <si>
    <t>6.4</t>
  </si>
  <si>
    <t>6.5</t>
  </si>
  <si>
    <t>6.6</t>
  </si>
  <si>
    <t>2013</t>
  </si>
  <si>
    <t>6.7</t>
  </si>
  <si>
    <t>6.8</t>
  </si>
  <si>
    <t>6.9</t>
  </si>
  <si>
    <t>6.11</t>
  </si>
  <si>
    <t>2014</t>
  </si>
  <si>
    <t>6.12</t>
  </si>
  <si>
    <t>6.13</t>
  </si>
  <si>
    <t>6.14</t>
  </si>
  <si>
    <t>6.15</t>
  </si>
  <si>
    <t>2015</t>
  </si>
  <si>
    <t>6.16</t>
  </si>
  <si>
    <t>6.18</t>
  </si>
  <si>
    <t>6.19</t>
  </si>
  <si>
    <t>2016</t>
  </si>
  <si>
    <t>2017</t>
  </si>
  <si>
    <t>2018</t>
  </si>
  <si>
    <t>2019</t>
  </si>
  <si>
    <t>2020</t>
  </si>
  <si>
    <t>2021</t>
  </si>
  <si>
    <t>2022</t>
  </si>
  <si>
    <t>2023</t>
  </si>
  <si>
    <t>2024</t>
  </si>
  <si>
    <t>2025</t>
  </si>
  <si>
    <t>2026</t>
  </si>
  <si>
    <t>合计</t>
  </si>
  <si>
    <t>总  计</t>
  </si>
  <si>
    <t>张宇1000题 习题册正确率记录</t>
  </si>
  <si>
    <t>章节</t>
  </si>
  <si>
    <t>总题目</t>
  </si>
  <si>
    <t>基础篇</t>
  </si>
  <si>
    <t>高等数学</t>
  </si>
  <si>
    <t>零基础</t>
  </si>
  <si>
    <t>第1章 函数极限与连续</t>
  </si>
  <si>
    <t>第2章 数列极限</t>
  </si>
  <si>
    <t>第3章 一元函数微分学的概念</t>
  </si>
  <si>
    <t>第4章 一元函数微分学的计算</t>
  </si>
  <si>
    <t>第5章 一元函数微分学的应用(一) ——几何应用</t>
  </si>
  <si>
    <t>第6章 一元函数微分学的应用(二) ——中值定理、微分等式与微分不等式</t>
  </si>
  <si>
    <t>第7章 一元函数微分学的应用(三) ——物理应用</t>
  </si>
  <si>
    <t>第8章 一元函数积分学的概念与性质</t>
  </si>
  <si>
    <t>第9章 一元函数积分学的计算</t>
  </si>
  <si>
    <t>第10章 一元函数积分学的应用(一) ——几何应用</t>
  </si>
  <si>
    <t>第11章 一元函数积分学的应用(二) ——积分等式与积分不等式</t>
  </si>
  <si>
    <t>第12章 一元函数积分学的应用(三) ——物理应用</t>
  </si>
  <si>
    <t>第13章 多元函数微分学</t>
  </si>
  <si>
    <t>第14章 二重积分</t>
  </si>
  <si>
    <t>第15章 微分方程</t>
  </si>
  <si>
    <t>第16章 无穷级数</t>
  </si>
  <si>
    <t>第17章 多元函数积分学的预备知识</t>
  </si>
  <si>
    <t>第18章 多元函数积分学</t>
  </si>
  <si>
    <t>线性代数</t>
  </si>
  <si>
    <t>第1章 行列式</t>
  </si>
  <si>
    <t>第2章 矩阵</t>
  </si>
  <si>
    <t>第3章 向量组</t>
  </si>
  <si>
    <t>第4章 线性方程组</t>
  </si>
  <si>
    <t>第5章 特征值与特征向量</t>
  </si>
  <si>
    <t>第6章 二次型</t>
  </si>
  <si>
    <t>概率论与数理统计</t>
  </si>
  <si>
    <t>第1章 随机事件与概率</t>
  </si>
  <si>
    <t>第2章 一维随机变量及其分布</t>
  </si>
  <si>
    <t>第3章 多维随机变量及其分布</t>
  </si>
  <si>
    <t>第4章 随机变量的数字特征</t>
  </si>
  <si>
    <t>第5章 大数定律与中心极限定理</t>
  </si>
  <si>
    <t>第6章 数理统计</t>
  </si>
  <si>
    <t>基础篇合计</t>
  </si>
  <si>
    <t>强化篇</t>
  </si>
  <si>
    <t>第2章 余子式和代数余子式的计算</t>
  </si>
  <si>
    <t>第3章 矩阵运算</t>
  </si>
  <si>
    <t>第4章 矩阵的秩</t>
  </si>
  <si>
    <t>第5章 线性方程组</t>
  </si>
  <si>
    <t>第6章 向量组</t>
  </si>
  <si>
    <t>第7章 特征值与特征向量</t>
  </si>
  <si>
    <t>第8章 相似理论</t>
  </si>
  <si>
    <t>第9章 二次型</t>
  </si>
  <si>
    <t>第1章 随机事件和概率</t>
  </si>
  <si>
    <t>第3章 一维随机变量函数的分布</t>
  </si>
  <si>
    <t>第4章 多维随机变量及其分布</t>
  </si>
  <si>
    <t>第5章 多维随机变量函数的分布</t>
  </si>
  <si>
    <t>第6章 数字特征</t>
  </si>
  <si>
    <t>第7章 大数定律与中心极限定理</t>
  </si>
  <si>
    <t>第8章 统计量及其分布</t>
  </si>
  <si>
    <t>第9章 参数估计与假设检验</t>
  </si>
  <si>
    <t>强化篇合计</t>
  </si>
  <si>
    <t>综合篇</t>
  </si>
  <si>
    <t>综合测试</t>
  </si>
  <si>
    <t>测试卷一</t>
  </si>
  <si>
    <t>测试卷二</t>
  </si>
  <si>
    <t>测试卷三</t>
  </si>
  <si>
    <t>测试卷四</t>
  </si>
  <si>
    <t>综合篇合计</t>
  </si>
  <si>
    <t>总计</t>
  </si>
  <si>
    <t>高等数学辅导讲义严选题 习题正确率记录</t>
  </si>
  <si>
    <t>选择题</t>
  </si>
  <si>
    <t>问答题</t>
  </si>
  <si>
    <t>第一章 函数 极限 连续</t>
  </si>
  <si>
    <t>第二章 一元函数微分学</t>
  </si>
  <si>
    <t>第三章 一元函数积分学</t>
  </si>
  <si>
    <t>第四章 常微分方程</t>
  </si>
  <si>
    <t>第五章 多元函数微分学</t>
  </si>
  <si>
    <t>第六章 二重积分</t>
  </si>
  <si>
    <t>第七章 无穷级数 (仅数学一、三)</t>
  </si>
  <si>
    <t>第八章 向量代数与空间解析几何及多元微分学在几何上的应用 (仅数学一)</t>
  </si>
  <si>
    <t>第九章 多元函数积分学及其应用 (仅数学一)</t>
  </si>
  <si>
    <t>李林880 （选择&amp;填空）习题正确率记录</t>
  </si>
  <si>
    <t>时间</t>
  </si>
  <si>
    <t>第一章 函数、极限、连续</t>
  </si>
  <si>
    <t>第二章 一元函数微分学及其应用</t>
  </si>
  <si>
    <t>第三章 一元函数积分学及其应用</t>
  </si>
  <si>
    <t>第四章 空间解析几何</t>
  </si>
  <si>
    <t>第五章 多元函数微分学及其应用</t>
  </si>
  <si>
    <t>第六章 重积分及其应用</t>
  </si>
  <si>
    <t>第七章 微分方程及其应用</t>
  </si>
  <si>
    <t>第八章 无穷级数</t>
  </si>
  <si>
    <t>第九章 曲线积分与曲面积分</t>
  </si>
  <si>
    <t>高等数学 合计</t>
  </si>
  <si>
    <t>第十章 行列式</t>
  </si>
  <si>
    <t>第十一章 矩阵</t>
  </si>
  <si>
    <t>第十二章 向量</t>
  </si>
  <si>
    <t>第十三章 线性方程组</t>
  </si>
  <si>
    <t>第十四章 相似矩阵</t>
  </si>
  <si>
    <t>第十五章 二次型</t>
  </si>
  <si>
    <t>线性代数 合计</t>
  </si>
  <si>
    <t>第十六章 随机事件及其概率</t>
  </si>
  <si>
    <t>第十七章 随机变量及其分布</t>
  </si>
  <si>
    <t>第十八章 多维随机变量及其分布</t>
  </si>
  <si>
    <t>第十九章 随机变量的数字特征</t>
  </si>
  <si>
    <t>第二十章 大数定律与中心极限定理</t>
  </si>
  <si>
    <t>第二十一章 数理统计的基本概念</t>
  </si>
  <si>
    <t>第二十二章 参数估计</t>
  </si>
  <si>
    <t>第二十三章 假设检验</t>
  </si>
  <si>
    <t>概率论与数理统计 合计</t>
  </si>
  <si>
    <t>总 计</t>
  </si>
  <si>
    <t>解答区</t>
  </si>
  <si>
    <t>扩展篇</t>
  </si>
  <si>
    <t>选填+解答总计区</t>
  </si>
  <si>
    <t>选填区</t>
  </si>
  <si>
    <t>王道数据结构 课后习题正确率记录</t>
  </si>
  <si>
    <t>一 刷</t>
  </si>
  <si>
    <t>二 刷</t>
  </si>
  <si>
    <t>小节</t>
  </si>
  <si>
    <t>真题总</t>
  </si>
  <si>
    <t>真题正</t>
  </si>
  <si>
    <t>真题率</t>
  </si>
  <si>
    <t>自编总</t>
  </si>
  <si>
    <t>自编正</t>
  </si>
  <si>
    <t>自编率</t>
  </si>
  <si>
    <t>第1章 绪论</t>
  </si>
  <si>
    <t>1.1 数据结构的基本概念</t>
  </si>
  <si>
    <t>1.2 算法和算法评价</t>
  </si>
  <si>
    <t>第2章 线性表</t>
  </si>
  <si>
    <t>2.1 线性表的定义和基本操作</t>
  </si>
  <si>
    <t>2.2 线性表的顺序表示</t>
  </si>
  <si>
    <t>2.3 线性表的链式表示</t>
  </si>
  <si>
    <t>第3章 栈、队列和数组</t>
  </si>
  <si>
    <t>3.1 栈</t>
  </si>
  <si>
    <t>3.2 队列</t>
  </si>
  <si>
    <t>3.3 栈和队列的应用</t>
  </si>
  <si>
    <t>3.4 数组和特殊矩阵</t>
  </si>
  <si>
    <t>第4章 串</t>
  </si>
  <si>
    <t>4.1 串的定义和实现</t>
  </si>
  <si>
    <t>4.2 串的模式匹配</t>
  </si>
  <si>
    <t>第5章 树与二叉树</t>
  </si>
  <si>
    <t>5.1 树的基本概念</t>
  </si>
  <si>
    <t>5.2 二叉树的概念</t>
  </si>
  <si>
    <t>5.3 二叉树的遍历和线索二叉树</t>
  </si>
  <si>
    <t>5.4 树、森林</t>
  </si>
  <si>
    <t>5.5 树与二叉树的应用</t>
  </si>
  <si>
    <t>第6章 图</t>
  </si>
  <si>
    <t>6.1 图的基本概念</t>
  </si>
  <si>
    <t>6.2 图的存储及基本操作</t>
  </si>
  <si>
    <t>6.3 图的遍历</t>
  </si>
  <si>
    <t>6.4 图的应用</t>
  </si>
  <si>
    <t>第7章 查找</t>
  </si>
  <si>
    <t>7.1 查找的基本概念</t>
  </si>
  <si>
    <t>7.2 顺序查找和折半查找</t>
  </si>
  <si>
    <t>7.3 树形查找</t>
  </si>
  <si>
    <t>未包含红黑树</t>
  </si>
  <si>
    <t>7.4 B树和B+树</t>
  </si>
  <si>
    <t>7.5 散列(Hash)表</t>
  </si>
  <si>
    <t>第8章 排序</t>
  </si>
  <si>
    <t>8.1 排序的基本概念</t>
  </si>
  <si>
    <t>8.2 插入排序</t>
  </si>
  <si>
    <t>8.3 交换排序</t>
  </si>
  <si>
    <t>8.4 选择排序</t>
  </si>
  <si>
    <t>8.5 归并排序、基数排序和计数排序</t>
  </si>
  <si>
    <t>8.6 各种内部排序算法的比较及应用</t>
  </si>
  <si>
    <t>未完成</t>
  </si>
  <si>
    <t>8.7 外部排序</t>
  </si>
  <si>
    <t>王道计算机组成原理 课后习题正确率记录</t>
  </si>
  <si>
    <t>第1章 计算机系统概述</t>
  </si>
  <si>
    <t>1.1 计算机发展历程</t>
  </si>
  <si>
    <t>1.2 计算机系统层次结构</t>
  </si>
  <si>
    <t>1.3 计算机的性能指标</t>
  </si>
  <si>
    <t>第2章 数据的表示和运算</t>
  </si>
  <si>
    <t>2.1 数制与编码</t>
  </si>
  <si>
    <t>2.2 运算方法和运算电路</t>
  </si>
  <si>
    <t>2.3 浮点数的表示与运算</t>
  </si>
  <si>
    <t>第3章 存储系统</t>
  </si>
  <si>
    <t>3.1 存储器概述</t>
  </si>
  <si>
    <t>3.2 主存储器</t>
  </si>
  <si>
    <t>3.3 主存储器与CPU的连接</t>
  </si>
  <si>
    <t>3.4 外部存储器</t>
  </si>
  <si>
    <t>3.5 高速缓冲存储器</t>
  </si>
  <si>
    <t>3.6 虚拟存储器</t>
  </si>
  <si>
    <t>第4章 指令系统</t>
  </si>
  <si>
    <t>4.1 指令系统</t>
  </si>
  <si>
    <t>4.2 寻址方式</t>
  </si>
  <si>
    <t>4.3 程序的机器级代码表示</t>
  </si>
  <si>
    <t>4.4 CISC和RISC的基本概念</t>
  </si>
  <si>
    <t>第5章 中央处理器</t>
  </si>
  <si>
    <t>5.1 CPU的功能和基本结构</t>
  </si>
  <si>
    <t>5.2 指令执行过程</t>
  </si>
  <si>
    <t>5.3 数据通路的功能和基本结构</t>
  </si>
  <si>
    <t>5.4 控制器的功能和工作原理</t>
  </si>
  <si>
    <t>5.5 异常和中断机制</t>
  </si>
  <si>
    <t>5.6 指令流水线</t>
  </si>
  <si>
    <t>5.7 多处理器的基本概念</t>
  </si>
  <si>
    <t>第6章 总线</t>
  </si>
  <si>
    <t>6.1 总线概述</t>
  </si>
  <si>
    <t>6.2 总线事务和定时</t>
  </si>
  <si>
    <t>第7章 输入/输出系统</t>
  </si>
  <si>
    <t>7.1 I/O系统基本概念</t>
  </si>
  <si>
    <t>7.2 I/O接口</t>
  </si>
  <si>
    <t>7.3 I/O方式</t>
  </si>
  <si>
    <t>王道操作系统 课后习题正确率记录</t>
  </si>
  <si>
    <t>1.1 操作系统的基本概念</t>
  </si>
  <si>
    <t>1.2 操作系统发展历程</t>
  </si>
  <si>
    <t>1.3 操作系统的运行环境</t>
  </si>
  <si>
    <t>1.4 操作系统结构</t>
  </si>
  <si>
    <t>1.5 操作系统引导</t>
  </si>
  <si>
    <t>1.6 虚拟机</t>
  </si>
  <si>
    <t>第2章 进程与线程</t>
  </si>
  <si>
    <t>2.1 进程与线程简介</t>
  </si>
  <si>
    <t>2.2 CPU调度</t>
  </si>
  <si>
    <t>2.3 同步与互斥</t>
  </si>
  <si>
    <t>2.4 死锁</t>
  </si>
  <si>
    <t>第3章 内存管理</t>
  </si>
  <si>
    <t>3.1 内存管理概念</t>
  </si>
  <si>
    <t>3.2 虚拟内存管理</t>
  </si>
  <si>
    <t>第4章 文件管理</t>
  </si>
  <si>
    <t>4.1 文件系统基础</t>
  </si>
  <si>
    <t>4.2 目录与文件</t>
  </si>
  <si>
    <t>4.3 文件系统</t>
  </si>
  <si>
    <t>第5章 输入/输出管理</t>
  </si>
  <si>
    <t>5.1 I/O管理概述</t>
  </si>
  <si>
    <t>5.2 设备独立性软件</t>
  </si>
  <si>
    <t>5.3 磁盘和固态硬盘</t>
  </si>
  <si>
    <t>王道计算机网络 课后习题正确率记录</t>
  </si>
  <si>
    <t>第1章 计算机网络体系结构</t>
  </si>
  <si>
    <t>1.1 计算机网络概述</t>
  </si>
  <si>
    <t>1.2 计算机网络体系结构与参考模型</t>
  </si>
  <si>
    <t>第2章 物理层</t>
  </si>
  <si>
    <t>2.1 通信基础</t>
  </si>
  <si>
    <t>2.2 传输介质</t>
  </si>
  <si>
    <t>2.3 物理层设备</t>
  </si>
  <si>
    <t>第3章 数据链路层</t>
  </si>
  <si>
    <t>3.1 数据链路层的功能</t>
  </si>
  <si>
    <t>3.2 组帧</t>
  </si>
  <si>
    <t>3.3 差错控制</t>
  </si>
  <si>
    <t>3.4 流量控制与可靠传输机制</t>
  </si>
  <si>
    <t>3.5 介质访问控制</t>
  </si>
  <si>
    <t>3.6 局域网</t>
  </si>
  <si>
    <t>3.7 广域网</t>
  </si>
  <si>
    <t>3.8 数据链路层设备</t>
  </si>
  <si>
    <t>第4章 网络层</t>
  </si>
  <si>
    <t>4.1 网络层的功能</t>
  </si>
  <si>
    <t>4.2 IPv4</t>
  </si>
  <si>
    <t>4.3 IPv6</t>
  </si>
  <si>
    <t>4.4 路由算法与路由协议</t>
  </si>
  <si>
    <t>4.5 IP多播</t>
  </si>
  <si>
    <t>4.6 移动IP</t>
  </si>
  <si>
    <t>4.7 网络层设备</t>
  </si>
  <si>
    <t>第5章 传输层</t>
  </si>
  <si>
    <t>5.1 传输层提供的服务</t>
  </si>
  <si>
    <t>5.2 UDP</t>
  </si>
  <si>
    <t>5.3 TCP</t>
  </si>
  <si>
    <t>第6章 应用层</t>
  </si>
  <si>
    <t>6.1 网络应用模型</t>
  </si>
  <si>
    <t>6.2 域名系统</t>
  </si>
  <si>
    <t>6.3 文件传输协议</t>
  </si>
  <si>
    <t>6.4 电子邮件</t>
  </si>
  <si>
    <t>6.5 万维网</t>
  </si>
  <si>
    <t>填空题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</si>
</sst>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1"/>
      <color theme="1"/>
      <name val="宋体"/>
      <family val="2"/>
      <scheme val="minor"/>
    </font>
    <font>
      <sz val="9"/>
      <name val="宋体"/>
      <family val="3"/>
      <charset val="134"/>
      <scheme val="minor"/>
    </font>
    <font>
      <b/>
      <sz val="14"/>
      <name val="宋体"/>
      <charset val="134"/>
    </font>
    <font>
      <b/>
      <sz val="11"/>
      <name val="宋体"/>
      <charset val="134"/>
    </font>
    <font>
      <b/>
      <sz val="10"/>
      <color rgb="FFFFFFFF"/>
      <name val="宋体"/>
      <charset val="134"/>
    </font>
    <font>
      <sz val="11"/>
      <name val="宋体"/>
      <charset val="134"/>
    </font>
    <font>
      <b/>
      <sz val="14"/>
      <name val="宋体"/>
      <charset val="134"/>
    </font>
    <font>
      <b/>
      <sz val="11"/>
      <name val="宋体"/>
      <charset val="134"/>
    </font>
    <font>
      <b/>
      <sz val="10"/>
      <color rgb="FFFFFFFF"/>
      <name val="宋体"/>
      <charset val="134"/>
    </font>
    <font>
      <sz val="11"/>
      <name val="宋体"/>
      <charset val="134"/>
    </font>
    <font>
      <b/>
      <sz val="14"/>
      <name val="宋体"/>
      <family val="3"/>
      <charset val="134"/>
    </font>
    <font>
      <b/>
      <sz val="14"/>
      <name val="宋体"/>
      <charset val="134"/>
    </font>
    <font>
      <b/>
      <sz val="10"/>
      <color rgb="FFFFFFFF"/>
      <name val="宋体"/>
      <charset val="134"/>
    </font>
    <font>
      <b/>
      <sz val="11"/>
      <name val="宋体"/>
      <charset val="134"/>
    </font>
    <font>
      <sz val="11"/>
      <name val="宋体"/>
      <charset val="134"/>
    </font>
    <font>
      <b/>
      <sz val="14"/>
      <name val="宋体"/>
      <charset val="134"/>
    </font>
    <font>
      <b/>
      <sz val="11"/>
      <name val="宋体"/>
      <charset val="134"/>
    </font>
    <font>
      <b/>
      <sz val="10"/>
      <color rgb="FFFFFFFF"/>
      <name val="宋体"/>
      <charset val="134"/>
    </font>
    <font>
      <sz val="11"/>
      <name val="宋体"/>
      <charset val="134"/>
    </font>
    <font>
      <sz val="11"/>
      <name val="宋体"/>
      <family val="3"/>
      <charset val="134"/>
    </font>
    <font>
      <b/>
      <sz val="14"/>
      <name val="宋体"/>
      <charset val="134"/>
    </font>
    <font>
      <b/>
      <sz val="11"/>
      <name val="宋体"/>
      <charset val="134"/>
    </font>
    <font>
      <b/>
      <sz val="10"/>
      <color rgb="FFFFFFFF"/>
      <name val="宋体"/>
      <charset val="134"/>
    </font>
    <font>
      <sz val="11"/>
      <name val="宋体"/>
      <charset val="134"/>
    </font>
    <font>
      <b/>
      <sz val="11"/>
      <name val="宋体"/>
      <family val="3"/>
      <charset val="134"/>
    </font>
  </fonts>
  <fills count="11">
    <fill>
      <patternFill patternType="none"/>
    </fill>
    <fill>
      <patternFill patternType="gray125"/>
    </fill>
    <fill>
      <patternFill patternType="solid">
        <fgColor rgb="FF2F5496"/>
        <bgColor rgb="FF2F5496"/>
      </patternFill>
    </fill>
    <fill>
      <patternFill patternType="solid">
        <fgColor rgb="FFD6E4F0"/>
        <bgColor rgb="FFD6E4F0"/>
      </patternFill>
    </fill>
    <fill>
      <patternFill patternType="solid">
        <fgColor rgb="FFFFF2CC"/>
        <bgColor rgb="FFFFF2CC"/>
      </patternFill>
    </fill>
    <fill>
      <patternFill patternType="solid">
        <fgColor rgb="FFE2EFDA"/>
        <bgColor rgb="FFE2EFDA"/>
      </patternFill>
    </fill>
    <fill>
      <patternFill patternType="solid">
        <fgColor rgb="FFF4B4C2"/>
        <bgColor rgb="FFF4B4C2"/>
      </patternFill>
    </fill>
    <fill>
      <patternFill patternType="solid">
        <fgColor rgb="FFD9D9D9"/>
        <bgColor rgb="FFD9D9D9"/>
      </patternFill>
    </fill>
    <fill>
      <patternFill patternType="solid">
        <fgColor rgb="FFF2F2F2"/>
        <bgColor rgb="FFF2F2F2"/>
      </patternFill>
    </fill>
    <fill>
      <patternFill patternType="solid">
        <fgColor rgb="FFFCE4D6"/>
        <bgColor rgb="FFFCE4D6"/>
      </patternFill>
    </fill>
    <fill>
      <patternFill patternType="solid">
        <fgColor theme="0"/>
        <bgColor indexed="64"/>
      </patternFill>
    </fill>
  </fills>
  <borders count="9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77">
    <xf numFmtId="0" fontId="0" fillId="0" borderId="0" xfId="0"/>
    <xf numFmtId="0" fontId="0" fillId="0" borderId="1" xfId="0" applyBorder="1"/>
    <xf numFmtId="0" fontId="4" fillId="2" borderId="1" xfId="0" applyFont="1" applyFill="1" applyBorder="1" applyAlignment="1">
      <alignment horizontal="center" vertical="center"/>
    </xf>
    <xf numFmtId="0" fontId="5" fillId="0" borderId="1" xfId="0" applyFont="1" applyBorder="1" applyAlignment="1">
      <alignment horizontal="left" vertical="center"/>
    </xf>
    <xf numFmtId="0" fontId="5" fillId="0" borderId="1" xfId="0" applyFont="1" applyBorder="1" applyAlignment="1">
      <alignment horizontal="center" vertical="center"/>
    </xf>
    <xf numFmtId="0" fontId="3" fillId="4" borderId="1" xfId="0" applyFont="1" applyFill="1" applyBorder="1" applyAlignment="1">
      <alignment horizontal="left" vertical="center"/>
    </xf>
    <xf numFmtId="0" fontId="0" fillId="4" borderId="1" xfId="0" applyFill="1" applyBorder="1"/>
    <xf numFmtId="0" fontId="3" fillId="4" borderId="1" xfId="0" applyFont="1" applyFill="1" applyBorder="1" applyAlignment="1">
      <alignment horizontal="center" vertical="center"/>
    </xf>
    <xf numFmtId="0" fontId="3" fillId="6" borderId="1" xfId="0" applyFont="1" applyFill="1" applyBorder="1" applyAlignment="1">
      <alignment horizontal="left" vertical="center"/>
    </xf>
    <xf numFmtId="0" fontId="0" fillId="6" borderId="1" xfId="0" applyFill="1" applyBorder="1"/>
    <xf numFmtId="0" fontId="3" fillId="6" borderId="1" xfId="0" applyFont="1" applyFill="1" applyBorder="1" applyAlignment="1">
      <alignment horizontal="center" vertical="center"/>
    </xf>
    <xf numFmtId="0" fontId="0" fillId="0" borderId="2" xfId="0" applyBorder="1"/>
    <xf numFmtId="0" fontId="8" fillId="2" borderId="2" xfId="0" applyFont="1" applyFill="1" applyBorder="1" applyAlignment="1">
      <alignment horizontal="center" vertical="center"/>
    </xf>
    <xf numFmtId="0" fontId="7" fillId="0" borderId="2" xfId="0" applyFont="1" applyBorder="1" applyAlignment="1">
      <alignment horizontal="left" vertical="center"/>
    </xf>
    <xf numFmtId="0" fontId="9" fillId="0" borderId="2" xfId="0" applyFont="1" applyBorder="1" applyAlignment="1">
      <alignment horizontal="left" vertical="center"/>
    </xf>
    <xf numFmtId="0" fontId="9" fillId="0" borderId="2" xfId="0" applyFont="1" applyBorder="1" applyAlignment="1">
      <alignment horizontal="center" vertical="center"/>
    </xf>
    <xf numFmtId="0" fontId="7" fillId="4" borderId="2" xfId="0" applyFont="1" applyFill="1" applyBorder="1" applyAlignment="1">
      <alignment horizontal="left" vertical="center"/>
    </xf>
    <xf numFmtId="0" fontId="0" fillId="4" borderId="2" xfId="0" applyFill="1" applyBorder="1"/>
    <xf numFmtId="0" fontId="7" fillId="4" borderId="2" xfId="0" applyFont="1" applyFill="1" applyBorder="1" applyAlignment="1">
      <alignment horizontal="center" vertical="center"/>
    </xf>
    <xf numFmtId="0" fontId="7" fillId="6" borderId="2" xfId="0" applyFont="1" applyFill="1" applyBorder="1" applyAlignment="1">
      <alignment horizontal="left" vertical="center"/>
    </xf>
    <xf numFmtId="0" fontId="0" fillId="6" borderId="2" xfId="0" applyFill="1" applyBorder="1"/>
    <xf numFmtId="0" fontId="7" fillId="6" borderId="2" xfId="0" applyFont="1" applyFill="1" applyBorder="1" applyAlignment="1">
      <alignment horizontal="center" vertical="center"/>
    </xf>
    <xf numFmtId="0" fontId="12" fillId="2" borderId="3" xfId="0" applyFont="1" applyFill="1" applyBorder="1" applyAlignment="1">
      <alignment horizontal="center" vertical="center"/>
    </xf>
    <xf numFmtId="0" fontId="13" fillId="0" borderId="3" xfId="0" applyFont="1" applyBorder="1" applyAlignment="1">
      <alignment horizontal="left" vertical="center"/>
    </xf>
    <xf numFmtId="0" fontId="14" fillId="0" borderId="3" xfId="0" applyFont="1" applyBorder="1" applyAlignment="1">
      <alignment horizontal="left" vertical="center"/>
    </xf>
    <xf numFmtId="0" fontId="14" fillId="0" borderId="3" xfId="0" applyFont="1" applyBorder="1" applyAlignment="1">
      <alignment horizontal="center" vertical="center"/>
    </xf>
    <xf numFmtId="0" fontId="13" fillId="4" borderId="3" xfId="0" applyFont="1" applyFill="1" applyBorder="1" applyAlignment="1">
      <alignment horizontal="left" vertical="center"/>
    </xf>
    <xf numFmtId="0" fontId="13" fillId="4" borderId="3" xfId="0" applyFont="1" applyFill="1" applyBorder="1" applyAlignment="1">
      <alignment horizontal="center" vertical="center"/>
    </xf>
    <xf numFmtId="0" fontId="13" fillId="6" borderId="3" xfId="0" applyFont="1" applyFill="1" applyBorder="1" applyAlignment="1">
      <alignment horizontal="left" vertical="center"/>
    </xf>
    <xf numFmtId="0" fontId="13" fillId="6" borderId="3" xfId="0" applyFont="1" applyFill="1" applyBorder="1" applyAlignment="1">
      <alignment horizontal="center" vertical="center"/>
    </xf>
    <xf numFmtId="0" fontId="14" fillId="0" borderId="3" xfId="0" applyFont="1" applyBorder="1"/>
    <xf numFmtId="0" fontId="0" fillId="0" borderId="4" xfId="0" applyBorder="1"/>
    <xf numFmtId="0" fontId="17" fillId="2" borderId="4" xfId="0" applyFont="1" applyFill="1" applyBorder="1" applyAlignment="1">
      <alignment horizontal="center" vertical="center"/>
    </xf>
    <xf numFmtId="0" fontId="18" fillId="0" borderId="4" xfId="0" applyFont="1" applyBorder="1" applyAlignment="1">
      <alignment horizontal="left" vertical="center"/>
    </xf>
    <xf numFmtId="0" fontId="18" fillId="0" borderId="4" xfId="0" applyFont="1" applyBorder="1" applyAlignment="1">
      <alignment horizontal="center" vertical="center"/>
    </xf>
    <xf numFmtId="0" fontId="16" fillId="4" borderId="4" xfId="0" applyFont="1" applyFill="1" applyBorder="1" applyAlignment="1">
      <alignment horizontal="left" vertical="center"/>
    </xf>
    <xf numFmtId="0" fontId="0" fillId="4" borderId="4" xfId="0" applyFill="1" applyBorder="1"/>
    <xf numFmtId="0" fontId="16" fillId="4" borderId="4" xfId="0" applyFont="1" applyFill="1" applyBorder="1" applyAlignment="1">
      <alignment horizontal="center" vertical="center"/>
    </xf>
    <xf numFmtId="0" fontId="16" fillId="6" borderId="4" xfId="0" applyFont="1" applyFill="1" applyBorder="1" applyAlignment="1">
      <alignment horizontal="left" vertical="center"/>
    </xf>
    <xf numFmtId="0" fontId="0" fillId="6" borderId="4" xfId="0" applyFill="1" applyBorder="1"/>
    <xf numFmtId="0" fontId="16" fillId="6" borderId="4" xfId="0" applyFont="1" applyFill="1" applyBorder="1" applyAlignment="1">
      <alignment horizontal="center" vertical="center"/>
    </xf>
    <xf numFmtId="0" fontId="19" fillId="0" borderId="2" xfId="0" applyFont="1" applyBorder="1" applyAlignment="1">
      <alignment horizontal="center" vertical="center"/>
    </xf>
    <xf numFmtId="0" fontId="19" fillId="0" borderId="2" xfId="0" applyFont="1" applyBorder="1" applyAlignment="1">
      <alignment horizontal="left" vertical="center"/>
    </xf>
    <xf numFmtId="0" fontId="0" fillId="10" borderId="2" xfId="0" applyFill="1" applyBorder="1" applyAlignment="1">
      <alignment horizontal="center" vertical="center"/>
    </xf>
    <xf numFmtId="0" fontId="0" fillId="0" borderId="2" xfId="0" applyBorder="1" applyAlignment="1">
      <alignment horizontal="center"/>
    </xf>
    <xf numFmtId="0" fontId="0" fillId="0" borderId="8" xfId="0" applyBorder="1"/>
    <xf numFmtId="0" fontId="21" fillId="4" borderId="8" xfId="0" applyFont="1" applyFill="1" applyBorder="1" applyAlignment="1">
      <alignment horizontal="center" vertical="center"/>
    </xf>
    <xf numFmtId="0" fontId="22" fillId="2" borderId="8" xfId="0" applyFont="1" applyFill="1" applyBorder="1" applyAlignment="1">
      <alignment horizontal="center" vertical="center"/>
    </xf>
    <xf numFmtId="0" fontId="23" fillId="0" borderId="8" xfId="0" applyFont="1" applyBorder="1" applyAlignment="1">
      <alignment horizontal="center" vertical="center"/>
    </xf>
    <xf numFmtId="0" fontId="21" fillId="4" borderId="8" xfId="0" applyFont="1" applyFill="1" applyBorder="1" applyAlignment="1">
      <alignment horizontal="left" vertical="center"/>
    </xf>
    <xf numFmtId="0" fontId="0" fillId="4" borderId="8" xfId="0" applyFill="1" applyBorder="1"/>
    <xf numFmtId="0" fontId="21" fillId="6" borderId="8" xfId="0" applyFont="1" applyFill="1" applyBorder="1" applyAlignment="1">
      <alignment horizontal="left" vertical="center"/>
    </xf>
    <xf numFmtId="0" fontId="0" fillId="6" borderId="8" xfId="0" applyFill="1" applyBorder="1"/>
    <xf numFmtId="0" fontId="21" fillId="6" borderId="8" xfId="0" applyFont="1" applyFill="1" applyBorder="1" applyAlignment="1">
      <alignment horizontal="center" vertical="center"/>
    </xf>
    <xf numFmtId="0" fontId="20" fillId="0" borderId="0" xfId="0" applyFont="1" applyAlignment="1">
      <alignment horizontal="center" vertical="center"/>
    </xf>
    <xf numFmtId="0" fontId="0" fillId="0" borderId="0" xfId="0"/>
    <xf numFmtId="0" fontId="21" fillId="4" borderId="8" xfId="0" applyFont="1" applyFill="1" applyBorder="1" applyAlignment="1">
      <alignment horizontal="center" vertical="center"/>
    </xf>
    <xf numFmtId="0" fontId="21" fillId="3" borderId="8" xfId="0" applyFont="1" applyFill="1" applyBorder="1" applyAlignment="1">
      <alignment horizontal="center" vertical="center"/>
    </xf>
    <xf numFmtId="0" fontId="13" fillId="8" borderId="5" xfId="0" applyFont="1" applyFill="1" applyBorder="1" applyAlignment="1">
      <alignment horizontal="left" vertical="center"/>
    </xf>
    <xf numFmtId="0" fontId="0" fillId="0" borderId="6" xfId="0" applyBorder="1"/>
    <xf numFmtId="0" fontId="0" fillId="0" borderId="7" xfId="0" applyBorder="1"/>
    <xf numFmtId="0" fontId="11" fillId="0" borderId="0" xfId="0" applyFont="1" applyAlignment="1">
      <alignment horizontal="center" vertical="center"/>
    </xf>
    <xf numFmtId="0" fontId="15" fillId="0" borderId="0" xfId="0" applyFont="1" applyAlignment="1">
      <alignment horizontal="center" vertical="center"/>
    </xf>
    <xf numFmtId="0" fontId="16" fillId="3" borderId="5" xfId="0" applyFont="1" applyFill="1" applyBorder="1" applyAlignment="1">
      <alignment horizontal="center" vertical="center"/>
    </xf>
    <xf numFmtId="0" fontId="16" fillId="7" borderId="5" xfId="0" applyFont="1" applyFill="1" applyBorder="1" applyAlignment="1">
      <alignment horizontal="center" vertical="center"/>
    </xf>
    <xf numFmtId="0" fontId="16" fillId="9" borderId="5" xfId="0" applyFont="1" applyFill="1" applyBorder="1" applyAlignment="1">
      <alignment horizontal="center" vertical="center"/>
    </xf>
    <xf numFmtId="0" fontId="24" fillId="5" borderId="5" xfId="0" applyFont="1" applyFill="1" applyBorder="1" applyAlignment="1">
      <alignment horizontal="center" vertical="center"/>
    </xf>
    <xf numFmtId="0" fontId="3" fillId="3" borderId="5" xfId="0" applyFont="1" applyFill="1" applyBorder="1" applyAlignment="1">
      <alignment horizontal="center" vertical="center"/>
    </xf>
    <xf numFmtId="0" fontId="3" fillId="8" borderId="5" xfId="0" applyFont="1" applyFill="1" applyBorder="1" applyAlignment="1">
      <alignment horizontal="left" vertical="center"/>
    </xf>
    <xf numFmtId="0" fontId="3" fillId="5" borderId="5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3" fillId="7" borderId="5" xfId="0" applyFont="1" applyFill="1" applyBorder="1" applyAlignment="1">
      <alignment horizontal="center" vertical="center"/>
    </xf>
    <xf numFmtId="0" fontId="10" fillId="0" borderId="0" xfId="0" applyFont="1" applyAlignment="1">
      <alignment horizontal="center" vertical="center"/>
    </xf>
    <xf numFmtId="0" fontId="3" fillId="9" borderId="5" xfId="0" applyFont="1" applyFill="1" applyBorder="1" applyAlignment="1">
      <alignment horizontal="center" vertical="center"/>
    </xf>
    <xf numFmtId="0" fontId="6" fillId="0" borderId="0" xfId="0" applyFont="1" applyAlignment="1">
      <alignment horizontal="center" vertical="center"/>
    </xf>
    <xf numFmtId="0" fontId="7" fillId="5" borderId="5" xfId="0" applyFont="1" applyFill="1" applyBorder="1" applyAlignment="1">
      <alignment horizontal="center" vertical="center"/>
    </xf>
    <xf numFmtId="0" fontId="7" fillId="3" borderId="5" xfId="0" applyFont="1" applyFill="1" applyBorder="1" applyAlignment="1">
      <alignment horizontal="center" vertical="center"/>
    </xf>
  </cellXfs>
  <cellStyles count="1">
    <cellStyle name="常规" xfId="0" builtinId="0"/>
  </cellStyles>
  <dxfs count="711">
    <dxf>
      <fill>
        <patternFill patternType="solid">
          <fgColor rgb="FFFFC7CE"/>
          <bgColor rgb="FFFFC7CE"/>
        </patternFill>
      </fill>
    </dxf>
    <dxf>
      <fill>
        <patternFill patternType="solid">
          <fgColor rgb="FFFFEB9C"/>
          <bgColor rgb="FFFFEB9C"/>
        </patternFill>
      </fill>
    </dxf>
    <dxf>
      <fill>
        <patternFill patternType="solid">
          <fgColor rgb="FFC6EFCE"/>
          <bgColor rgb="FFC6EFCE"/>
        </patternFill>
      </fill>
    </dxf>
    <dxf>
      <fill>
        <patternFill patternType="solid">
          <fgColor rgb="FFFFC7CE"/>
          <bgColor rgb="FFFFC7CE"/>
        </patternFill>
      </fill>
    </dxf>
    <dxf>
      <fill>
        <patternFill patternType="solid">
          <fgColor rgb="FFFFEB9C"/>
          <bgColor rgb="FFFFEB9C"/>
        </patternFill>
      </fill>
    </dxf>
    <dxf>
      <fill>
        <patternFill patternType="solid">
          <fgColor rgb="FFC6EFCE"/>
          <bgColor rgb="FFC6EFCE"/>
        </patternFill>
      </fill>
    </dxf>
    <dxf>
      <fill>
        <patternFill patternType="solid">
          <fgColor rgb="FFFFC7CE"/>
          <bgColor rgb="FFFFC7CE"/>
        </patternFill>
      </fill>
    </dxf>
    <dxf>
      <fill>
        <patternFill patternType="solid">
          <fgColor rgb="FFFFEB9C"/>
          <bgColor rgb="FFFFEB9C"/>
        </patternFill>
      </fill>
    </dxf>
    <dxf>
      <fill>
        <patternFill patternType="solid">
          <fgColor rgb="FFC6EFCE"/>
          <bgColor rgb="FFC6EFCE"/>
        </patternFill>
      </fill>
    </dxf>
    <dxf>
      <fill>
        <patternFill patternType="solid">
          <fgColor rgb="FFFFC7CE"/>
          <bgColor rgb="FFFFC7CE"/>
        </patternFill>
      </fill>
    </dxf>
    <dxf>
      <fill>
        <patternFill patternType="solid">
          <fgColor rgb="FFFFEB9C"/>
          <bgColor rgb="FFFFEB9C"/>
        </patternFill>
      </fill>
    </dxf>
    <dxf>
      <fill>
        <patternFill patternType="solid">
          <fgColor rgb="FFC6EFCE"/>
          <bgColor rgb="FFC6EFCE"/>
        </patternFill>
      </fill>
    </dxf>
    <dxf>
      <fill>
        <patternFill patternType="solid">
          <fgColor rgb="FFFFC7CE"/>
          <bgColor rgb="FFFFC7CE"/>
        </patternFill>
      </fill>
    </dxf>
    <dxf>
      <fill>
        <patternFill patternType="solid">
          <fgColor rgb="FFFFEB9C"/>
          <bgColor rgb="FFFFEB9C"/>
        </patternFill>
      </fill>
    </dxf>
    <dxf>
      <fill>
        <patternFill patternType="solid">
          <fgColor rgb="FFC6EFCE"/>
          <bgColor rgb="FFC6EFCE"/>
        </patternFill>
      </fill>
    </dxf>
    <dxf>
      <fill>
        <patternFill patternType="solid">
          <fgColor rgb="FFFFC7CE"/>
          <bgColor rgb="FFFFC7CE"/>
        </patternFill>
      </fill>
    </dxf>
    <dxf>
      <fill>
        <patternFill patternType="solid">
          <fgColor rgb="FFFFEB9C"/>
          <bgColor rgb="FFFFEB9C"/>
        </patternFill>
      </fill>
    </dxf>
    <dxf>
      <fill>
        <patternFill patternType="solid">
          <fgColor rgb="FFC6EFCE"/>
          <bgColor rgb="FFC6EFCE"/>
        </patternFill>
      </fill>
    </dxf>
    <dxf>
      <fill>
        <patternFill patternType="solid">
          <fgColor rgb="FFFFC7CE"/>
          <bgColor rgb="FFFFC7CE"/>
        </patternFill>
      </fill>
    </dxf>
    <dxf>
      <fill>
        <patternFill patternType="solid">
          <fgColor rgb="FFFFEB9C"/>
          <bgColor rgb="FFFFEB9C"/>
        </patternFill>
      </fill>
    </dxf>
    <dxf>
      <fill>
        <patternFill patternType="solid">
          <fgColor rgb="FFC6EFCE"/>
          <bgColor rgb="FFC6EFCE"/>
        </patternFill>
      </fill>
    </dxf>
    <dxf>
      <fill>
        <patternFill patternType="solid">
          <fgColor rgb="FFFFC7CE"/>
          <bgColor rgb="FFFFC7CE"/>
        </patternFill>
      </fill>
    </dxf>
    <dxf>
      <fill>
        <patternFill patternType="solid">
          <fgColor rgb="FFFFEB9C"/>
          <bgColor rgb="FFFFEB9C"/>
        </patternFill>
      </fill>
    </dxf>
    <dxf>
      <fill>
        <patternFill patternType="solid">
          <fgColor rgb="FFC6EFCE"/>
          <bgColor rgb="FFC6EFCE"/>
        </patternFill>
      </fill>
    </dxf>
    <dxf>
      <fill>
        <patternFill patternType="solid">
          <fgColor rgb="FFFFC7CE"/>
          <bgColor rgb="FFFFC7CE"/>
        </patternFill>
      </fill>
    </dxf>
    <dxf>
      <fill>
        <patternFill patternType="solid">
          <fgColor rgb="FFFFEB9C"/>
          <bgColor rgb="FFFFEB9C"/>
        </patternFill>
      </fill>
    </dxf>
    <dxf>
      <fill>
        <patternFill patternType="solid">
          <fgColor rgb="FFC6EFCE"/>
          <bgColor rgb="FFC6EFCE"/>
        </patternFill>
      </fill>
    </dxf>
    <dxf>
      <fill>
        <patternFill patternType="solid">
          <fgColor rgb="FFFFC7CE"/>
          <bgColor rgb="FFFFC7CE"/>
        </patternFill>
      </fill>
    </dxf>
    <dxf>
      <fill>
        <patternFill patternType="solid">
          <fgColor rgb="FFFFEB9C"/>
          <bgColor rgb="FFFFEB9C"/>
        </patternFill>
      </fill>
    </dxf>
    <dxf>
      <fill>
        <patternFill patternType="solid">
          <fgColor rgb="FFC6EFCE"/>
          <bgColor rgb="FFC6EFCE"/>
        </patternFill>
      </fill>
    </dxf>
    <dxf>
      <fill>
        <patternFill patternType="solid">
          <fgColor rgb="FFFFC7CE"/>
          <bgColor rgb="FFFFC7CE"/>
        </patternFill>
      </fill>
    </dxf>
    <dxf>
      <fill>
        <patternFill patternType="solid">
          <fgColor rgb="FFFFEB9C"/>
          <bgColor rgb="FFFFEB9C"/>
        </patternFill>
      </fill>
    </dxf>
    <dxf>
      <fill>
        <patternFill patternType="solid">
          <fgColor rgb="FFC6EFCE"/>
          <bgColor rgb="FFC6EFCE"/>
        </patternFill>
      </fill>
    </dxf>
    <dxf>
      <fill>
        <patternFill patternType="solid">
          <fgColor rgb="FFFFC7CE"/>
          <bgColor rgb="FFFFC7CE"/>
        </patternFill>
      </fill>
    </dxf>
    <dxf>
      <fill>
        <patternFill patternType="solid">
          <fgColor rgb="FFFFEB9C"/>
          <bgColor rgb="FFFFEB9C"/>
        </patternFill>
      </fill>
    </dxf>
    <dxf>
      <fill>
        <patternFill patternType="solid">
          <fgColor rgb="FFC6EFCE"/>
          <bgColor rgb="FFC6EFCE"/>
        </patternFill>
      </fill>
    </dxf>
    <dxf>
      <fill>
        <patternFill patternType="solid">
          <fgColor rgb="FFC6EFCE"/>
          <bgColor rgb="FFC6EFCE"/>
        </patternFill>
      </fill>
    </dxf>
    <dxf>
      <fill>
        <patternFill patternType="solid">
          <fgColor rgb="FFFFEB9C"/>
          <bgColor rgb="FFFFEB9C"/>
        </patternFill>
      </fill>
    </dxf>
    <dxf>
      <fill>
        <patternFill patternType="solid">
          <fgColor rgb="FFFFC7CE"/>
          <bgColor rgb="FFFFC7CE"/>
        </patternFill>
      </fill>
    </dxf>
    <dxf>
      <fill>
        <patternFill patternType="solid">
          <fgColor rgb="FFFFC7CE"/>
          <bgColor rgb="FFFFC7CE"/>
        </patternFill>
      </fill>
    </dxf>
    <dxf>
      <fill>
        <patternFill patternType="solid">
          <fgColor rgb="FFFFEB9C"/>
          <bgColor rgb="FFFFEB9C"/>
        </patternFill>
      </fill>
    </dxf>
    <dxf>
      <fill>
        <patternFill patternType="solid">
          <fgColor rgb="FFC6EFCE"/>
          <bgColor rgb="FFC6EFCE"/>
        </patternFill>
      </fill>
    </dxf>
    <dxf>
      <fill>
        <patternFill patternType="solid">
          <fgColor rgb="FFC6EFCE"/>
          <bgColor rgb="FFC6EFCE"/>
        </patternFill>
      </fill>
    </dxf>
    <dxf>
      <fill>
        <patternFill patternType="solid">
          <fgColor rgb="FFFFEB9C"/>
          <bgColor rgb="FFFFEB9C"/>
        </patternFill>
      </fill>
    </dxf>
    <dxf>
      <fill>
        <patternFill patternType="solid">
          <fgColor rgb="FFFFC7CE"/>
          <bgColor rgb="FFFFC7CE"/>
        </patternFill>
      </fill>
    </dxf>
    <dxf>
      <fill>
        <patternFill patternType="solid">
          <fgColor rgb="FFC6EFCE"/>
          <bgColor rgb="FFC6EFCE"/>
        </patternFill>
      </fill>
    </dxf>
    <dxf>
      <fill>
        <patternFill patternType="solid">
          <fgColor rgb="FFFFC7CE"/>
          <bgColor rgb="FFFFC7CE"/>
        </patternFill>
      </fill>
    </dxf>
    <dxf>
      <fill>
        <patternFill patternType="solid">
          <fgColor rgb="FFFFEB9C"/>
          <bgColor rgb="FFFFEB9C"/>
        </patternFill>
      </fill>
    </dxf>
    <dxf>
      <fill>
        <patternFill patternType="solid">
          <fgColor rgb="FFC6EFCE"/>
          <bgColor rgb="FFC6EFCE"/>
        </patternFill>
      </fill>
    </dxf>
    <dxf>
      <fill>
        <patternFill patternType="solid">
          <fgColor rgb="FFFFEB9C"/>
          <bgColor rgb="FFFFEB9C"/>
        </patternFill>
      </fill>
    </dxf>
    <dxf>
      <fill>
        <patternFill patternType="solid">
          <fgColor rgb="FFFFC7CE"/>
          <bgColor rgb="FFFFC7CE"/>
        </patternFill>
      </fill>
    </dxf>
    <dxf>
      <fill>
        <patternFill patternType="solid">
          <fgColor rgb="FFFFC7CE"/>
          <bgColor rgb="FFFFC7CE"/>
        </patternFill>
      </fill>
    </dxf>
    <dxf>
      <fill>
        <patternFill patternType="solid">
          <fgColor rgb="FFFFEB9C"/>
          <bgColor rgb="FFFFEB9C"/>
        </patternFill>
      </fill>
    </dxf>
    <dxf>
      <fill>
        <patternFill patternType="solid">
          <fgColor rgb="FFC6EFCE"/>
          <bgColor rgb="FFC6EFCE"/>
        </patternFill>
      </fill>
    </dxf>
    <dxf>
      <fill>
        <patternFill patternType="solid">
          <fgColor rgb="FFC6EFCE"/>
          <bgColor rgb="FFC6EFCE"/>
        </patternFill>
      </fill>
    </dxf>
    <dxf>
      <fill>
        <patternFill patternType="solid">
          <fgColor rgb="FFFFEB9C"/>
          <bgColor rgb="FFFFEB9C"/>
        </patternFill>
      </fill>
    </dxf>
    <dxf>
      <fill>
        <patternFill patternType="solid">
          <fgColor rgb="FFFFC7CE"/>
          <bgColor rgb="FFFFC7CE"/>
        </patternFill>
      </fill>
    </dxf>
    <dxf>
      <fill>
        <patternFill patternType="solid">
          <fgColor rgb="FFFFC7CE"/>
          <bgColor rgb="FFFFC7CE"/>
        </patternFill>
      </fill>
    </dxf>
    <dxf>
      <fill>
        <patternFill patternType="solid">
          <fgColor rgb="FFFFEB9C"/>
          <bgColor rgb="FFFFEB9C"/>
        </patternFill>
      </fill>
    </dxf>
    <dxf>
      <fill>
        <patternFill patternType="solid">
          <fgColor rgb="FFC6EFCE"/>
          <bgColor rgb="FFC6EFCE"/>
        </patternFill>
      </fill>
    </dxf>
    <dxf>
      <fill>
        <patternFill patternType="solid">
          <fgColor rgb="FFC6EFCE"/>
          <bgColor rgb="FFC6EFCE"/>
        </patternFill>
      </fill>
    </dxf>
    <dxf>
      <fill>
        <patternFill patternType="solid">
          <fgColor rgb="FFFFEB9C"/>
          <bgColor rgb="FFFFEB9C"/>
        </patternFill>
      </fill>
    </dxf>
    <dxf>
      <fill>
        <patternFill patternType="solid">
          <fgColor rgb="FFFFC7CE"/>
          <bgColor rgb="FFFFC7CE"/>
        </patternFill>
      </fill>
    </dxf>
    <dxf>
      <fill>
        <patternFill patternType="solid">
          <fgColor rgb="FFFFC7CE"/>
          <bgColor rgb="FFFFC7CE"/>
        </patternFill>
      </fill>
    </dxf>
    <dxf>
      <fill>
        <patternFill patternType="solid">
          <fgColor rgb="FFC6EFCE"/>
          <bgColor rgb="FFC6EFCE"/>
        </patternFill>
      </fill>
    </dxf>
    <dxf>
      <fill>
        <patternFill patternType="solid">
          <fgColor rgb="FFFFEB9C"/>
          <bgColor rgb="FFFFEB9C"/>
        </patternFill>
      </fill>
    </dxf>
    <dxf>
      <fill>
        <patternFill patternType="solid">
          <fgColor rgb="FFC6EFCE"/>
          <bgColor rgb="FFC6EFCE"/>
        </patternFill>
      </fill>
    </dxf>
    <dxf>
      <fill>
        <patternFill patternType="solid">
          <fgColor rgb="FFFFEB9C"/>
          <bgColor rgb="FFFFEB9C"/>
        </patternFill>
      </fill>
    </dxf>
    <dxf>
      <fill>
        <patternFill patternType="solid">
          <fgColor rgb="FFFFC7CE"/>
          <bgColor rgb="FFFFC7CE"/>
        </patternFill>
      </fill>
    </dxf>
    <dxf>
      <fill>
        <patternFill patternType="solid">
          <fgColor rgb="FFC6EFCE"/>
          <bgColor rgb="FFC6EFCE"/>
        </patternFill>
      </fill>
    </dxf>
    <dxf>
      <fill>
        <patternFill patternType="solid">
          <fgColor rgb="FFFFEB9C"/>
          <bgColor rgb="FFFFEB9C"/>
        </patternFill>
      </fill>
    </dxf>
    <dxf>
      <fill>
        <patternFill patternType="solid">
          <fgColor rgb="FFFFC7CE"/>
          <bgColor rgb="FFFFC7CE"/>
        </patternFill>
      </fill>
    </dxf>
    <dxf>
      <fill>
        <patternFill patternType="solid">
          <fgColor rgb="FFFFEB9C"/>
          <bgColor rgb="FFFFEB9C"/>
        </patternFill>
      </fill>
    </dxf>
    <dxf>
      <fill>
        <patternFill patternType="solid">
          <fgColor rgb="FFC6EFCE"/>
          <bgColor rgb="FFC6EFCE"/>
        </patternFill>
      </fill>
    </dxf>
    <dxf>
      <fill>
        <patternFill patternType="solid">
          <fgColor rgb="FFFFC7CE"/>
          <bgColor rgb="FFFFC7CE"/>
        </patternFill>
      </fill>
    </dxf>
    <dxf>
      <fill>
        <patternFill patternType="solid">
          <fgColor rgb="FFFFEB9C"/>
          <bgColor rgb="FFFFEB9C"/>
        </patternFill>
      </fill>
    </dxf>
    <dxf>
      <fill>
        <patternFill patternType="solid">
          <fgColor rgb="FFC6EFCE"/>
          <bgColor rgb="FFC6EFCE"/>
        </patternFill>
      </fill>
    </dxf>
    <dxf>
      <fill>
        <patternFill patternType="solid">
          <fgColor rgb="FFFFC7CE"/>
          <bgColor rgb="FFFFC7CE"/>
        </patternFill>
      </fill>
    </dxf>
    <dxf>
      <fill>
        <patternFill patternType="solid">
          <fgColor rgb="FFFFC7CE"/>
          <bgColor rgb="FFFFC7CE"/>
        </patternFill>
      </fill>
    </dxf>
    <dxf>
      <fill>
        <patternFill patternType="solid">
          <fgColor rgb="FFFFEB9C"/>
          <bgColor rgb="FFFFEB9C"/>
        </patternFill>
      </fill>
    </dxf>
    <dxf>
      <fill>
        <patternFill patternType="solid">
          <fgColor rgb="FFC6EFCE"/>
          <bgColor rgb="FFC6EFCE"/>
        </patternFill>
      </fill>
    </dxf>
    <dxf>
      <fill>
        <patternFill patternType="solid">
          <fgColor rgb="FFFFC7CE"/>
          <bgColor rgb="FFFFC7CE"/>
        </patternFill>
      </fill>
    </dxf>
    <dxf>
      <fill>
        <patternFill patternType="solid">
          <fgColor rgb="FFFFEB9C"/>
          <bgColor rgb="FFFFEB9C"/>
        </patternFill>
      </fill>
    </dxf>
    <dxf>
      <fill>
        <patternFill patternType="solid">
          <fgColor rgb="FFC6EFCE"/>
          <bgColor rgb="FFC6EFCE"/>
        </patternFill>
      </fill>
    </dxf>
    <dxf>
      <fill>
        <patternFill patternType="solid">
          <fgColor rgb="FFFFC7CE"/>
          <bgColor rgb="FFFFC7CE"/>
        </patternFill>
      </fill>
    </dxf>
    <dxf>
      <fill>
        <patternFill patternType="solid">
          <fgColor rgb="FFFFEB9C"/>
          <bgColor rgb="FFFFEB9C"/>
        </patternFill>
      </fill>
    </dxf>
    <dxf>
      <fill>
        <patternFill patternType="solid">
          <fgColor rgb="FFC6EFCE"/>
          <bgColor rgb="FFC6EFCE"/>
        </patternFill>
      </fill>
    </dxf>
    <dxf>
      <fill>
        <patternFill patternType="solid">
          <fgColor rgb="FFFFEB9C"/>
          <bgColor rgb="FFFFEB9C"/>
        </patternFill>
      </fill>
    </dxf>
    <dxf>
      <fill>
        <patternFill patternType="solid">
          <fgColor rgb="FFFFC7CE"/>
          <bgColor rgb="FFFFC7CE"/>
        </patternFill>
      </fill>
    </dxf>
    <dxf>
      <fill>
        <patternFill patternType="solid">
          <fgColor rgb="FFC6EFCE"/>
          <bgColor rgb="FFC6EFCE"/>
        </patternFill>
      </fill>
    </dxf>
    <dxf>
      <fill>
        <patternFill patternType="solid">
          <fgColor rgb="FFFFEB9C"/>
          <bgColor rgb="FFFFEB9C"/>
        </patternFill>
      </fill>
    </dxf>
    <dxf>
      <fill>
        <patternFill patternType="solid">
          <fgColor rgb="FFFFC7CE"/>
          <bgColor rgb="FFFFC7CE"/>
        </patternFill>
      </fill>
    </dxf>
    <dxf>
      <fill>
        <patternFill patternType="solid">
          <fgColor rgb="FFC6EFCE"/>
          <bgColor rgb="FFC6EFCE"/>
        </patternFill>
      </fill>
    </dxf>
    <dxf>
      <fill>
        <patternFill patternType="solid">
          <fgColor rgb="FFFFC7CE"/>
          <bgColor rgb="FFFFC7CE"/>
        </patternFill>
      </fill>
    </dxf>
    <dxf>
      <fill>
        <patternFill patternType="solid">
          <fgColor rgb="FFFFEB9C"/>
          <bgColor rgb="FFFFEB9C"/>
        </patternFill>
      </fill>
    </dxf>
    <dxf>
      <fill>
        <patternFill patternType="solid">
          <fgColor rgb="FFC6EFCE"/>
          <bgColor rgb="FFC6EFCE"/>
        </patternFill>
      </fill>
    </dxf>
    <dxf>
      <fill>
        <patternFill patternType="solid">
          <fgColor rgb="FFFFC7CE"/>
          <bgColor rgb="FFFFC7CE"/>
        </patternFill>
      </fill>
    </dxf>
    <dxf>
      <fill>
        <patternFill patternType="solid">
          <fgColor rgb="FFFFEB9C"/>
          <bgColor rgb="FFFFEB9C"/>
        </patternFill>
      </fill>
    </dxf>
    <dxf>
      <fill>
        <patternFill patternType="solid">
          <fgColor rgb="FFC6EFCE"/>
          <bgColor rgb="FFC6EFCE"/>
        </patternFill>
      </fill>
    </dxf>
    <dxf>
      <fill>
        <patternFill patternType="solid">
          <fgColor rgb="FFFFC7CE"/>
          <bgColor rgb="FFFFC7CE"/>
        </patternFill>
      </fill>
    </dxf>
    <dxf>
      <fill>
        <patternFill patternType="solid">
          <fgColor rgb="FFFFEB9C"/>
          <bgColor rgb="FFFFEB9C"/>
        </patternFill>
      </fill>
    </dxf>
    <dxf>
      <fill>
        <patternFill patternType="solid">
          <fgColor rgb="FFC6EFCE"/>
          <bgColor rgb="FFC6EFCE"/>
        </patternFill>
      </fill>
    </dxf>
    <dxf>
      <fill>
        <patternFill patternType="solid">
          <fgColor rgb="FFC6EFCE"/>
          <bgColor rgb="FFC6EFCE"/>
        </patternFill>
      </fill>
    </dxf>
    <dxf>
      <fill>
        <patternFill patternType="solid">
          <fgColor rgb="FFFFC7CE"/>
          <bgColor rgb="FFFFC7CE"/>
        </patternFill>
      </fill>
    </dxf>
    <dxf>
      <fill>
        <patternFill patternType="solid">
          <fgColor rgb="FFFFEB9C"/>
          <bgColor rgb="FFFFEB9C"/>
        </patternFill>
      </fill>
    </dxf>
    <dxf>
      <fill>
        <patternFill patternType="solid">
          <fgColor rgb="FFC6EFCE"/>
          <bgColor rgb="FFC6EFCE"/>
        </patternFill>
      </fill>
    </dxf>
    <dxf>
      <fill>
        <patternFill patternType="solid">
          <fgColor rgb="FFFFC7CE"/>
          <bgColor rgb="FFFFC7CE"/>
        </patternFill>
      </fill>
    </dxf>
    <dxf>
      <fill>
        <patternFill patternType="solid">
          <fgColor rgb="FFFFEB9C"/>
          <bgColor rgb="FFFFEB9C"/>
        </patternFill>
      </fill>
    </dxf>
    <dxf>
      <fill>
        <patternFill patternType="solid">
          <fgColor rgb="FFFFEB9C"/>
          <bgColor rgb="FFFFEB9C"/>
        </patternFill>
      </fill>
    </dxf>
    <dxf>
      <fill>
        <patternFill patternType="solid">
          <fgColor rgb="FFC6EFCE"/>
          <bgColor rgb="FFC6EFCE"/>
        </patternFill>
      </fill>
    </dxf>
    <dxf>
      <fill>
        <patternFill patternType="solid">
          <fgColor rgb="FFFFC7CE"/>
          <bgColor rgb="FFFFC7CE"/>
        </patternFill>
      </fill>
    </dxf>
    <dxf>
      <fill>
        <patternFill patternType="solid">
          <fgColor rgb="FFC6EFCE"/>
          <bgColor rgb="FFC6EFCE"/>
        </patternFill>
      </fill>
    </dxf>
    <dxf>
      <fill>
        <patternFill patternType="solid">
          <fgColor rgb="FFFFEB9C"/>
          <bgColor rgb="FFFFEB9C"/>
        </patternFill>
      </fill>
    </dxf>
    <dxf>
      <fill>
        <patternFill patternType="solid">
          <fgColor rgb="FFFFC7CE"/>
          <bgColor rgb="FFFFC7CE"/>
        </patternFill>
      </fill>
    </dxf>
    <dxf>
      <fill>
        <patternFill patternType="solid">
          <fgColor rgb="FFFFC7CE"/>
          <bgColor rgb="FFFFC7CE"/>
        </patternFill>
      </fill>
    </dxf>
    <dxf>
      <fill>
        <patternFill patternType="solid">
          <fgColor rgb="FFFFEB9C"/>
          <bgColor rgb="FFFFEB9C"/>
        </patternFill>
      </fill>
    </dxf>
    <dxf>
      <fill>
        <patternFill patternType="solid">
          <fgColor rgb="FFC6EFCE"/>
          <bgColor rgb="FFC6EFCE"/>
        </patternFill>
      </fill>
    </dxf>
    <dxf>
      <fill>
        <patternFill patternType="solid">
          <fgColor rgb="FFFFC7CE"/>
          <bgColor rgb="FFFFC7CE"/>
        </patternFill>
      </fill>
    </dxf>
    <dxf>
      <fill>
        <patternFill patternType="solid">
          <fgColor rgb="FFFFEB9C"/>
          <bgColor rgb="FFFFEB9C"/>
        </patternFill>
      </fill>
    </dxf>
    <dxf>
      <fill>
        <patternFill patternType="solid">
          <fgColor rgb="FFC6EFCE"/>
          <bgColor rgb="FFC6EFCE"/>
        </patternFill>
      </fill>
    </dxf>
    <dxf>
      <fill>
        <patternFill patternType="solid">
          <fgColor rgb="FFFFEB9C"/>
          <bgColor rgb="FFFFEB9C"/>
        </patternFill>
      </fill>
    </dxf>
    <dxf>
      <fill>
        <patternFill patternType="solid">
          <fgColor rgb="FFC6EFCE"/>
          <bgColor rgb="FFC6EFCE"/>
        </patternFill>
      </fill>
    </dxf>
    <dxf>
      <fill>
        <patternFill patternType="solid">
          <fgColor rgb="FFFFC7CE"/>
          <bgColor rgb="FFFFC7CE"/>
        </patternFill>
      </fill>
    </dxf>
    <dxf>
      <fill>
        <patternFill patternType="solid">
          <fgColor rgb="FFC6EFCE"/>
          <bgColor rgb="FFC6EFCE"/>
        </patternFill>
      </fill>
    </dxf>
    <dxf>
      <fill>
        <patternFill patternType="solid">
          <fgColor rgb="FFFFEB9C"/>
          <bgColor rgb="FFFFEB9C"/>
        </patternFill>
      </fill>
    </dxf>
    <dxf>
      <fill>
        <patternFill patternType="solid">
          <fgColor rgb="FFFFC7CE"/>
          <bgColor rgb="FFFFC7CE"/>
        </patternFill>
      </fill>
    </dxf>
    <dxf>
      <fill>
        <patternFill patternType="solid">
          <fgColor rgb="FFFFC7CE"/>
          <bgColor rgb="FFFFC7CE"/>
        </patternFill>
      </fill>
    </dxf>
    <dxf>
      <fill>
        <patternFill patternType="solid">
          <fgColor rgb="FFFFEB9C"/>
          <bgColor rgb="FFFFEB9C"/>
        </patternFill>
      </fill>
    </dxf>
    <dxf>
      <fill>
        <patternFill patternType="solid">
          <fgColor rgb="FFC6EFCE"/>
          <bgColor rgb="FFC6EFCE"/>
        </patternFill>
      </fill>
    </dxf>
    <dxf>
      <fill>
        <patternFill patternType="solid">
          <fgColor rgb="FFFFC7CE"/>
          <bgColor rgb="FFFFC7CE"/>
        </patternFill>
      </fill>
    </dxf>
    <dxf>
      <fill>
        <patternFill patternType="solid">
          <fgColor rgb="FFFFEB9C"/>
          <bgColor rgb="FFFFEB9C"/>
        </patternFill>
      </fill>
    </dxf>
    <dxf>
      <fill>
        <patternFill patternType="solid">
          <fgColor rgb="FFC6EFCE"/>
          <bgColor rgb="FFC6EFCE"/>
        </patternFill>
      </fill>
    </dxf>
    <dxf>
      <fill>
        <patternFill patternType="solid">
          <fgColor rgb="FFFFC7CE"/>
          <bgColor rgb="FFFFC7CE"/>
        </patternFill>
      </fill>
    </dxf>
    <dxf>
      <fill>
        <patternFill patternType="solid">
          <fgColor rgb="FFFFEB9C"/>
          <bgColor rgb="FFFFEB9C"/>
        </patternFill>
      </fill>
    </dxf>
    <dxf>
      <fill>
        <patternFill patternType="solid">
          <fgColor rgb="FFC6EFCE"/>
          <bgColor rgb="FFC6EFCE"/>
        </patternFill>
      </fill>
    </dxf>
    <dxf>
      <fill>
        <patternFill patternType="solid">
          <fgColor rgb="FFFFEB9C"/>
          <bgColor rgb="FFFFEB9C"/>
        </patternFill>
      </fill>
    </dxf>
    <dxf>
      <fill>
        <patternFill patternType="solid">
          <fgColor rgb="FFC6EFCE"/>
          <bgColor rgb="FFC6EFCE"/>
        </patternFill>
      </fill>
    </dxf>
    <dxf>
      <fill>
        <patternFill patternType="solid">
          <fgColor rgb="FFFFC7CE"/>
          <bgColor rgb="FFFFC7CE"/>
        </patternFill>
      </fill>
    </dxf>
    <dxf>
      <fill>
        <patternFill patternType="solid">
          <fgColor rgb="FFFFC7CE"/>
          <bgColor rgb="FFFFC7CE"/>
        </patternFill>
      </fill>
    </dxf>
    <dxf>
      <fill>
        <patternFill patternType="solid">
          <fgColor rgb="FFC6EFCE"/>
          <bgColor rgb="FFC6EFCE"/>
        </patternFill>
      </fill>
    </dxf>
    <dxf>
      <fill>
        <patternFill patternType="solid">
          <fgColor rgb="FFFFEB9C"/>
          <bgColor rgb="FFFFEB9C"/>
        </patternFill>
      </fill>
    </dxf>
    <dxf>
      <fill>
        <patternFill patternType="solid">
          <fgColor rgb="FFFFC7CE"/>
          <bgColor rgb="FFFFC7CE"/>
        </patternFill>
      </fill>
    </dxf>
    <dxf>
      <fill>
        <patternFill patternType="solid">
          <fgColor rgb="FFFFEB9C"/>
          <bgColor rgb="FFFFEB9C"/>
        </patternFill>
      </fill>
    </dxf>
    <dxf>
      <fill>
        <patternFill patternType="solid">
          <fgColor rgb="FFC6EFCE"/>
          <bgColor rgb="FFC6EFCE"/>
        </patternFill>
      </fill>
    </dxf>
    <dxf>
      <fill>
        <patternFill patternType="solid">
          <fgColor rgb="FFFFC7CE"/>
          <bgColor rgb="FFFFC7CE"/>
        </patternFill>
      </fill>
    </dxf>
    <dxf>
      <fill>
        <patternFill patternType="solid">
          <fgColor rgb="FFFFEB9C"/>
          <bgColor rgb="FFFFEB9C"/>
        </patternFill>
      </fill>
    </dxf>
    <dxf>
      <fill>
        <patternFill patternType="solid">
          <fgColor rgb="FFC6EFCE"/>
          <bgColor rgb="FFC6EFCE"/>
        </patternFill>
      </fill>
    </dxf>
    <dxf>
      <fill>
        <patternFill patternType="solid">
          <fgColor rgb="FFC6EFCE"/>
          <bgColor rgb="FFC6EFCE"/>
        </patternFill>
      </fill>
    </dxf>
    <dxf>
      <fill>
        <patternFill patternType="solid">
          <fgColor rgb="FFFFC7CE"/>
          <bgColor rgb="FFFFC7CE"/>
        </patternFill>
      </fill>
    </dxf>
    <dxf>
      <fill>
        <patternFill patternType="solid">
          <fgColor rgb="FFFFEB9C"/>
          <bgColor rgb="FFFFEB9C"/>
        </patternFill>
      </fill>
    </dxf>
    <dxf>
      <fill>
        <patternFill patternType="solid">
          <fgColor rgb="FFFFC7CE"/>
          <bgColor rgb="FFFFC7CE"/>
        </patternFill>
      </fill>
    </dxf>
    <dxf>
      <fill>
        <patternFill patternType="solid">
          <fgColor rgb="FFFFEB9C"/>
          <bgColor rgb="FFFFEB9C"/>
        </patternFill>
      </fill>
    </dxf>
    <dxf>
      <fill>
        <patternFill patternType="solid">
          <fgColor rgb="FFC6EFCE"/>
          <bgColor rgb="FFC6EFCE"/>
        </patternFill>
      </fill>
    </dxf>
    <dxf>
      <fill>
        <patternFill patternType="solid">
          <fgColor rgb="FFFFC7CE"/>
          <bgColor rgb="FFFFC7CE"/>
        </patternFill>
      </fill>
    </dxf>
    <dxf>
      <fill>
        <patternFill patternType="solid">
          <fgColor rgb="FFFFEB9C"/>
          <bgColor rgb="FFFFEB9C"/>
        </patternFill>
      </fill>
    </dxf>
    <dxf>
      <fill>
        <patternFill patternType="solid">
          <fgColor rgb="FFC6EFCE"/>
          <bgColor rgb="FFC6EFCE"/>
        </patternFill>
      </fill>
    </dxf>
    <dxf>
      <fill>
        <patternFill patternType="solid">
          <fgColor rgb="FFFFC7CE"/>
          <bgColor rgb="FFFFC7CE"/>
        </patternFill>
      </fill>
    </dxf>
    <dxf>
      <fill>
        <patternFill patternType="solid">
          <fgColor rgb="FFFFEB9C"/>
          <bgColor rgb="FFFFEB9C"/>
        </patternFill>
      </fill>
    </dxf>
    <dxf>
      <fill>
        <patternFill patternType="solid">
          <fgColor rgb="FFC6EFCE"/>
          <bgColor rgb="FFC6EFCE"/>
        </patternFill>
      </fill>
    </dxf>
    <dxf>
      <fill>
        <patternFill patternType="solid">
          <fgColor rgb="FFC6EFCE"/>
          <bgColor rgb="FFC6EFCE"/>
        </patternFill>
      </fill>
    </dxf>
    <dxf>
      <fill>
        <patternFill patternType="solid">
          <fgColor rgb="FFFFEB9C"/>
          <bgColor rgb="FFFFEB9C"/>
        </patternFill>
      </fill>
    </dxf>
    <dxf>
      <fill>
        <patternFill patternType="solid">
          <fgColor rgb="FFFFC7CE"/>
          <bgColor rgb="FFFFC7CE"/>
        </patternFill>
      </fill>
    </dxf>
    <dxf>
      <fill>
        <patternFill patternType="solid">
          <fgColor rgb="FFFFEB9C"/>
          <bgColor rgb="FFFFEB9C"/>
        </patternFill>
      </fill>
    </dxf>
    <dxf>
      <fill>
        <patternFill patternType="solid">
          <fgColor rgb="FFC6EFCE"/>
          <bgColor rgb="FFC6EFCE"/>
        </patternFill>
      </fill>
    </dxf>
    <dxf>
      <fill>
        <patternFill patternType="solid">
          <fgColor rgb="FFFFC7CE"/>
          <bgColor rgb="FFFFC7CE"/>
        </patternFill>
      </fill>
    </dxf>
    <dxf>
      <fill>
        <patternFill patternType="solid">
          <fgColor rgb="FFFFC7CE"/>
          <bgColor rgb="FFFFC7CE"/>
        </patternFill>
      </fill>
    </dxf>
    <dxf>
      <fill>
        <patternFill patternType="solid">
          <fgColor rgb="FFFFEB9C"/>
          <bgColor rgb="FFFFEB9C"/>
        </patternFill>
      </fill>
    </dxf>
    <dxf>
      <fill>
        <patternFill patternType="solid">
          <fgColor rgb="FFC6EFCE"/>
          <bgColor rgb="FFC6EFCE"/>
        </patternFill>
      </fill>
    </dxf>
    <dxf>
      <fill>
        <patternFill patternType="solid">
          <fgColor rgb="FFFFC7CE"/>
          <bgColor rgb="FFFFC7CE"/>
        </patternFill>
      </fill>
    </dxf>
    <dxf>
      <fill>
        <patternFill patternType="solid">
          <fgColor rgb="FFC6EFCE"/>
          <bgColor rgb="FFC6EFCE"/>
        </patternFill>
      </fill>
    </dxf>
    <dxf>
      <fill>
        <patternFill patternType="solid">
          <fgColor rgb="FFFFEB9C"/>
          <bgColor rgb="FFFFEB9C"/>
        </patternFill>
      </fill>
    </dxf>
    <dxf>
      <fill>
        <patternFill patternType="solid">
          <fgColor rgb="FFFFC7CE"/>
          <bgColor rgb="FFFFC7CE"/>
        </patternFill>
      </fill>
    </dxf>
    <dxf>
      <fill>
        <patternFill patternType="solid">
          <fgColor rgb="FFC6EFCE"/>
          <bgColor rgb="FFC6EFCE"/>
        </patternFill>
      </fill>
    </dxf>
    <dxf>
      <fill>
        <patternFill patternType="solid">
          <fgColor rgb="FFFFEB9C"/>
          <bgColor rgb="FFFFEB9C"/>
        </patternFill>
      </fill>
    </dxf>
    <dxf>
      <fill>
        <patternFill patternType="solid">
          <fgColor rgb="FFC6EFCE"/>
          <bgColor rgb="FFC6EFCE"/>
        </patternFill>
      </fill>
    </dxf>
    <dxf>
      <fill>
        <patternFill patternType="solid">
          <fgColor rgb="FFFFEB9C"/>
          <bgColor rgb="FFFFEB9C"/>
        </patternFill>
      </fill>
    </dxf>
    <dxf>
      <fill>
        <patternFill patternType="solid">
          <fgColor rgb="FFFFC7CE"/>
          <bgColor rgb="FFFFC7CE"/>
        </patternFill>
      </fill>
    </dxf>
    <dxf>
      <fill>
        <patternFill patternType="solid">
          <fgColor rgb="FFFFC7CE"/>
          <bgColor rgb="FFFFC7CE"/>
        </patternFill>
      </fill>
    </dxf>
    <dxf>
      <fill>
        <patternFill patternType="solid">
          <fgColor rgb="FFFFEB9C"/>
          <bgColor rgb="FFFFEB9C"/>
        </patternFill>
      </fill>
    </dxf>
    <dxf>
      <fill>
        <patternFill patternType="solid">
          <fgColor rgb="FFC6EFCE"/>
          <bgColor rgb="FFC6EFCE"/>
        </patternFill>
      </fill>
    </dxf>
    <dxf>
      <fill>
        <patternFill patternType="solid">
          <fgColor rgb="FFFFEB9C"/>
          <bgColor rgb="FFFFEB9C"/>
        </patternFill>
      </fill>
    </dxf>
    <dxf>
      <fill>
        <patternFill patternType="solid">
          <fgColor rgb="FFC6EFCE"/>
          <bgColor rgb="FFC6EFCE"/>
        </patternFill>
      </fill>
    </dxf>
    <dxf>
      <fill>
        <patternFill patternType="solid">
          <fgColor rgb="FFFFC7CE"/>
          <bgColor rgb="FFFFC7CE"/>
        </patternFill>
      </fill>
    </dxf>
    <dxf>
      <fill>
        <patternFill patternType="solid">
          <fgColor rgb="FFFFEB9C"/>
          <bgColor rgb="FFFFEB9C"/>
        </patternFill>
      </fill>
    </dxf>
    <dxf>
      <fill>
        <patternFill patternType="solid">
          <fgColor rgb="FFC6EFCE"/>
          <bgColor rgb="FFC6EFCE"/>
        </patternFill>
      </fill>
    </dxf>
    <dxf>
      <fill>
        <patternFill patternType="solid">
          <fgColor rgb="FFFFC7CE"/>
          <bgColor rgb="FFFFC7CE"/>
        </patternFill>
      </fill>
    </dxf>
    <dxf>
      <fill>
        <patternFill patternType="solid">
          <fgColor rgb="FFFFEB9C"/>
          <bgColor rgb="FFFFEB9C"/>
        </patternFill>
      </fill>
    </dxf>
    <dxf>
      <fill>
        <patternFill patternType="solid">
          <fgColor rgb="FFC6EFCE"/>
          <bgColor rgb="FFC6EFCE"/>
        </patternFill>
      </fill>
    </dxf>
    <dxf>
      <fill>
        <patternFill patternType="solid">
          <fgColor rgb="FFFFC7CE"/>
          <bgColor rgb="FFFFC7CE"/>
        </patternFill>
      </fill>
    </dxf>
    <dxf>
      <fill>
        <patternFill patternType="solid">
          <fgColor rgb="FFFFEB9C"/>
          <bgColor rgb="FFFFEB9C"/>
        </patternFill>
      </fill>
    </dxf>
    <dxf>
      <fill>
        <patternFill patternType="solid">
          <fgColor rgb="FFFFC7CE"/>
          <bgColor rgb="FFFFC7CE"/>
        </patternFill>
      </fill>
    </dxf>
    <dxf>
      <fill>
        <patternFill patternType="solid">
          <fgColor rgb="FFC6EFCE"/>
          <bgColor rgb="FFC6EFCE"/>
        </patternFill>
      </fill>
    </dxf>
    <dxf>
      <fill>
        <patternFill patternType="solid">
          <fgColor rgb="FFC6EFCE"/>
          <bgColor rgb="FFC6EFCE"/>
        </patternFill>
      </fill>
    </dxf>
    <dxf>
      <fill>
        <patternFill patternType="solid">
          <fgColor rgb="FFFFEB9C"/>
          <bgColor rgb="FFFFEB9C"/>
        </patternFill>
      </fill>
    </dxf>
    <dxf>
      <fill>
        <patternFill patternType="solid">
          <fgColor rgb="FFFFC7CE"/>
          <bgColor rgb="FFFFC7CE"/>
        </patternFill>
      </fill>
    </dxf>
    <dxf>
      <fill>
        <patternFill patternType="solid">
          <fgColor rgb="FFFFEB9C"/>
          <bgColor rgb="FFFFEB9C"/>
        </patternFill>
      </fill>
    </dxf>
    <dxf>
      <fill>
        <patternFill patternType="solid">
          <fgColor rgb="FFC6EFCE"/>
          <bgColor rgb="FFC6EFCE"/>
        </patternFill>
      </fill>
    </dxf>
    <dxf>
      <fill>
        <patternFill patternType="solid">
          <fgColor rgb="FFFFC7CE"/>
          <bgColor rgb="FFFFC7CE"/>
        </patternFill>
      </fill>
    </dxf>
    <dxf>
      <fill>
        <patternFill patternType="solid">
          <fgColor rgb="FFFFC7CE"/>
          <bgColor rgb="FFFFC7CE"/>
        </patternFill>
      </fill>
    </dxf>
    <dxf>
      <fill>
        <patternFill patternType="solid">
          <fgColor rgb="FFFFEB9C"/>
          <bgColor rgb="FFFFEB9C"/>
        </patternFill>
      </fill>
    </dxf>
    <dxf>
      <fill>
        <patternFill patternType="solid">
          <fgColor rgb="FFC6EFCE"/>
          <bgColor rgb="FFC6EFCE"/>
        </patternFill>
      </fill>
    </dxf>
    <dxf>
      <fill>
        <patternFill patternType="solid">
          <fgColor rgb="FFC6EFCE"/>
          <bgColor rgb="FFC6EFCE"/>
        </patternFill>
      </fill>
    </dxf>
    <dxf>
      <fill>
        <patternFill patternType="solid">
          <fgColor rgb="FFFFEB9C"/>
          <bgColor rgb="FFFFEB9C"/>
        </patternFill>
      </fill>
    </dxf>
    <dxf>
      <fill>
        <patternFill patternType="solid">
          <fgColor rgb="FFFFC7CE"/>
          <bgColor rgb="FFFFC7CE"/>
        </patternFill>
      </fill>
    </dxf>
    <dxf>
      <fill>
        <patternFill patternType="solid">
          <fgColor rgb="FFFFC7CE"/>
          <bgColor rgb="FFFFC7CE"/>
        </patternFill>
      </fill>
    </dxf>
    <dxf>
      <fill>
        <patternFill patternType="solid">
          <fgColor rgb="FFFFEB9C"/>
          <bgColor rgb="FFFFEB9C"/>
        </patternFill>
      </fill>
    </dxf>
    <dxf>
      <fill>
        <patternFill patternType="solid">
          <fgColor rgb="FFC6EFCE"/>
          <bgColor rgb="FFC6EFCE"/>
        </patternFill>
      </fill>
    </dxf>
    <dxf>
      <fill>
        <patternFill patternType="solid">
          <fgColor rgb="FFFFC7CE"/>
          <bgColor rgb="FFFFC7CE"/>
        </patternFill>
      </fill>
    </dxf>
    <dxf>
      <fill>
        <patternFill patternType="solid">
          <fgColor rgb="FFFFEB9C"/>
          <bgColor rgb="FFFFEB9C"/>
        </patternFill>
      </fill>
    </dxf>
    <dxf>
      <fill>
        <patternFill patternType="solid">
          <fgColor rgb="FFC6EFCE"/>
          <bgColor rgb="FFC6EFCE"/>
        </patternFill>
      </fill>
    </dxf>
    <dxf>
      <fill>
        <patternFill patternType="solid">
          <fgColor rgb="FFC6EFCE"/>
          <bgColor rgb="FFC6EFCE"/>
        </patternFill>
      </fill>
    </dxf>
    <dxf>
      <fill>
        <patternFill patternType="solid">
          <fgColor rgb="FFFFEB9C"/>
          <bgColor rgb="FFFFEB9C"/>
        </patternFill>
      </fill>
    </dxf>
    <dxf>
      <fill>
        <patternFill patternType="solid">
          <fgColor rgb="FFFFC7CE"/>
          <bgColor rgb="FFFFC7CE"/>
        </patternFill>
      </fill>
    </dxf>
    <dxf>
      <fill>
        <patternFill patternType="solid">
          <fgColor rgb="FFC6EFCE"/>
          <bgColor rgb="FFC6EFCE"/>
        </patternFill>
      </fill>
    </dxf>
    <dxf>
      <fill>
        <patternFill patternType="solid">
          <fgColor rgb="FFFFEB9C"/>
          <bgColor rgb="FFFFEB9C"/>
        </patternFill>
      </fill>
    </dxf>
    <dxf>
      <fill>
        <patternFill patternType="solid">
          <fgColor rgb="FFFFC7CE"/>
          <bgColor rgb="FFFFC7CE"/>
        </patternFill>
      </fill>
    </dxf>
    <dxf>
      <fill>
        <patternFill patternType="solid">
          <fgColor rgb="FFFFC7CE"/>
          <bgColor rgb="FFFFC7CE"/>
        </patternFill>
      </fill>
    </dxf>
    <dxf>
      <fill>
        <patternFill patternType="solid">
          <fgColor rgb="FFFFEB9C"/>
          <bgColor rgb="FFFFEB9C"/>
        </patternFill>
      </fill>
    </dxf>
    <dxf>
      <fill>
        <patternFill patternType="solid">
          <fgColor rgb="FFC6EFCE"/>
          <bgColor rgb="FFC6EFCE"/>
        </patternFill>
      </fill>
    </dxf>
    <dxf>
      <fill>
        <patternFill patternType="solid">
          <fgColor rgb="FFFFEB9C"/>
          <bgColor rgb="FFFFEB9C"/>
        </patternFill>
      </fill>
    </dxf>
    <dxf>
      <fill>
        <patternFill patternType="solid">
          <fgColor rgb="FFC6EFCE"/>
          <bgColor rgb="FFC6EFCE"/>
        </patternFill>
      </fill>
    </dxf>
    <dxf>
      <fill>
        <patternFill patternType="solid">
          <fgColor rgb="FFFFC7CE"/>
          <bgColor rgb="FFFFC7CE"/>
        </patternFill>
      </fill>
    </dxf>
    <dxf>
      <fill>
        <patternFill patternType="solid">
          <fgColor rgb="FFC6EFCE"/>
          <bgColor rgb="FFC6EFCE"/>
        </patternFill>
      </fill>
    </dxf>
    <dxf>
      <fill>
        <patternFill patternType="solid">
          <fgColor rgb="FFFFC7CE"/>
          <bgColor rgb="FFFFC7CE"/>
        </patternFill>
      </fill>
    </dxf>
    <dxf>
      <fill>
        <patternFill patternType="solid">
          <fgColor rgb="FFFFEB9C"/>
          <bgColor rgb="FFFFEB9C"/>
        </patternFill>
      </fill>
    </dxf>
    <dxf>
      <fill>
        <patternFill patternType="solid">
          <fgColor rgb="FFFFC7CE"/>
          <bgColor rgb="FFFFC7CE"/>
        </patternFill>
      </fill>
    </dxf>
    <dxf>
      <fill>
        <patternFill patternType="solid">
          <fgColor rgb="FFFFEB9C"/>
          <bgColor rgb="FFFFEB9C"/>
        </patternFill>
      </fill>
    </dxf>
    <dxf>
      <fill>
        <patternFill patternType="solid">
          <fgColor rgb="FFC6EFCE"/>
          <bgColor rgb="FFC6EFCE"/>
        </patternFill>
      </fill>
    </dxf>
    <dxf>
      <fill>
        <patternFill patternType="solid">
          <fgColor rgb="FFFFEB9C"/>
          <bgColor rgb="FFFFEB9C"/>
        </patternFill>
      </fill>
    </dxf>
    <dxf>
      <fill>
        <patternFill patternType="solid">
          <fgColor rgb="FFC6EFCE"/>
          <bgColor rgb="FFC6EFCE"/>
        </patternFill>
      </fill>
    </dxf>
    <dxf>
      <fill>
        <patternFill patternType="solid">
          <fgColor rgb="FFFFC7CE"/>
          <bgColor rgb="FFFFC7CE"/>
        </patternFill>
      </fill>
    </dxf>
    <dxf>
      <fill>
        <patternFill patternType="solid">
          <fgColor rgb="FFFFC7CE"/>
          <bgColor rgb="FFFFC7CE"/>
        </patternFill>
      </fill>
    </dxf>
    <dxf>
      <fill>
        <patternFill patternType="solid">
          <fgColor rgb="FFFFEB9C"/>
          <bgColor rgb="FFFFEB9C"/>
        </patternFill>
      </fill>
    </dxf>
    <dxf>
      <fill>
        <patternFill patternType="solid">
          <fgColor rgb="FFC6EFCE"/>
          <bgColor rgb="FFC6EFCE"/>
        </patternFill>
      </fill>
    </dxf>
    <dxf>
      <fill>
        <patternFill patternType="solid">
          <fgColor rgb="FFC6EFCE"/>
          <bgColor rgb="FFC6EFCE"/>
        </patternFill>
      </fill>
    </dxf>
    <dxf>
      <fill>
        <patternFill patternType="solid">
          <fgColor rgb="FFFFEB9C"/>
          <bgColor rgb="FFFFEB9C"/>
        </patternFill>
      </fill>
    </dxf>
    <dxf>
      <fill>
        <patternFill patternType="solid">
          <fgColor rgb="FFFFC7CE"/>
          <bgColor rgb="FFFFC7CE"/>
        </patternFill>
      </fill>
    </dxf>
    <dxf>
      <fill>
        <patternFill patternType="solid">
          <fgColor rgb="FFC6EFCE"/>
          <bgColor rgb="FFC6EFCE"/>
        </patternFill>
      </fill>
    </dxf>
    <dxf>
      <fill>
        <patternFill patternType="solid">
          <fgColor rgb="FFFFEB9C"/>
          <bgColor rgb="FFFFEB9C"/>
        </patternFill>
      </fill>
    </dxf>
    <dxf>
      <fill>
        <patternFill patternType="solid">
          <fgColor rgb="FFFFC7CE"/>
          <bgColor rgb="FFFFC7CE"/>
        </patternFill>
      </fill>
    </dxf>
    <dxf>
      <fill>
        <patternFill patternType="solid">
          <fgColor rgb="FFFFEB9C"/>
          <bgColor rgb="FFFFEB9C"/>
        </patternFill>
      </fill>
    </dxf>
    <dxf>
      <fill>
        <patternFill patternType="solid">
          <fgColor rgb="FFC6EFCE"/>
          <bgColor rgb="FFC6EFCE"/>
        </patternFill>
      </fill>
    </dxf>
    <dxf>
      <fill>
        <patternFill patternType="solid">
          <fgColor rgb="FFFFC7CE"/>
          <bgColor rgb="FFFFC7CE"/>
        </patternFill>
      </fill>
    </dxf>
    <dxf>
      <fill>
        <patternFill patternType="solid">
          <fgColor rgb="FFC6EFCE"/>
          <bgColor rgb="FFC6EFCE"/>
        </patternFill>
      </fill>
    </dxf>
    <dxf>
      <fill>
        <patternFill patternType="solid">
          <fgColor rgb="FFFFC7CE"/>
          <bgColor rgb="FFFFC7CE"/>
        </patternFill>
      </fill>
    </dxf>
    <dxf>
      <fill>
        <patternFill patternType="solid">
          <fgColor rgb="FFFFEB9C"/>
          <bgColor rgb="FFFFEB9C"/>
        </patternFill>
      </fill>
    </dxf>
    <dxf>
      <fill>
        <patternFill patternType="solid">
          <fgColor rgb="FFFFC7CE"/>
          <bgColor rgb="FFFFC7CE"/>
        </patternFill>
      </fill>
    </dxf>
    <dxf>
      <fill>
        <patternFill patternType="solid">
          <fgColor rgb="FFFFEB9C"/>
          <bgColor rgb="FFFFEB9C"/>
        </patternFill>
      </fill>
    </dxf>
    <dxf>
      <fill>
        <patternFill patternType="solid">
          <fgColor rgb="FFC6EFCE"/>
          <bgColor rgb="FFC6EFCE"/>
        </patternFill>
      </fill>
    </dxf>
    <dxf>
      <fill>
        <patternFill patternType="solid">
          <fgColor rgb="FFFFEB9C"/>
          <bgColor rgb="FFFFEB9C"/>
        </patternFill>
      </fill>
    </dxf>
    <dxf>
      <fill>
        <patternFill patternType="solid">
          <fgColor rgb="FFFFC7CE"/>
          <bgColor rgb="FFFFC7CE"/>
        </patternFill>
      </fill>
    </dxf>
    <dxf>
      <fill>
        <patternFill patternType="solid">
          <fgColor rgb="FFC6EFCE"/>
          <bgColor rgb="FFC6EFCE"/>
        </patternFill>
      </fill>
    </dxf>
    <dxf>
      <fill>
        <patternFill patternType="solid">
          <fgColor rgb="FFFFEB9C"/>
          <bgColor rgb="FFFFEB9C"/>
        </patternFill>
      </fill>
    </dxf>
    <dxf>
      <fill>
        <patternFill patternType="solid">
          <fgColor rgb="FFC6EFCE"/>
          <bgColor rgb="FFC6EFCE"/>
        </patternFill>
      </fill>
    </dxf>
    <dxf>
      <fill>
        <patternFill patternType="solid">
          <fgColor rgb="FFFFC7CE"/>
          <bgColor rgb="FFFFC7CE"/>
        </patternFill>
      </fill>
    </dxf>
    <dxf>
      <fill>
        <patternFill patternType="solid">
          <fgColor rgb="FFC6EFCE"/>
          <bgColor rgb="FFC6EFCE"/>
        </patternFill>
      </fill>
    </dxf>
    <dxf>
      <fill>
        <patternFill patternType="solid">
          <fgColor rgb="FFFFEB9C"/>
          <bgColor rgb="FFFFEB9C"/>
        </patternFill>
      </fill>
    </dxf>
    <dxf>
      <fill>
        <patternFill patternType="solid">
          <fgColor rgb="FFFFC7CE"/>
          <bgColor rgb="FFFFC7CE"/>
        </patternFill>
      </fill>
    </dxf>
    <dxf>
      <fill>
        <patternFill patternType="solid">
          <fgColor rgb="FFFFC7CE"/>
          <bgColor rgb="FFFFC7CE"/>
        </patternFill>
      </fill>
    </dxf>
    <dxf>
      <fill>
        <patternFill patternType="solid">
          <fgColor rgb="FFFFEB9C"/>
          <bgColor rgb="FFFFEB9C"/>
        </patternFill>
      </fill>
    </dxf>
    <dxf>
      <fill>
        <patternFill patternType="solid">
          <fgColor rgb="FFC6EFCE"/>
          <bgColor rgb="FFC6EFCE"/>
        </patternFill>
      </fill>
    </dxf>
    <dxf>
      <fill>
        <patternFill patternType="solid">
          <fgColor rgb="FFFFC7CE"/>
          <bgColor rgb="FFFFC7CE"/>
        </patternFill>
      </fill>
    </dxf>
    <dxf>
      <fill>
        <patternFill patternType="solid">
          <fgColor rgb="FFFFEB9C"/>
          <bgColor rgb="FFFFEB9C"/>
        </patternFill>
      </fill>
    </dxf>
    <dxf>
      <fill>
        <patternFill patternType="solid">
          <fgColor rgb="FFC6EFCE"/>
          <bgColor rgb="FFC6EFCE"/>
        </patternFill>
      </fill>
    </dxf>
    <dxf>
      <fill>
        <patternFill patternType="solid">
          <fgColor rgb="FFFFC7CE"/>
          <bgColor rgb="FFFFC7CE"/>
        </patternFill>
      </fill>
    </dxf>
    <dxf>
      <fill>
        <patternFill patternType="solid">
          <fgColor rgb="FFFFEB9C"/>
          <bgColor rgb="FFFFEB9C"/>
        </patternFill>
      </fill>
    </dxf>
    <dxf>
      <fill>
        <patternFill patternType="solid">
          <fgColor rgb="FFC6EFCE"/>
          <bgColor rgb="FFC6EFCE"/>
        </patternFill>
      </fill>
    </dxf>
    <dxf>
      <fill>
        <patternFill patternType="solid">
          <fgColor rgb="FFC6EFCE"/>
          <bgColor rgb="FFC6EFCE"/>
        </patternFill>
      </fill>
    </dxf>
    <dxf>
      <fill>
        <patternFill patternType="solid">
          <fgColor rgb="FFFFC7CE"/>
          <bgColor rgb="FFFFC7CE"/>
        </patternFill>
      </fill>
    </dxf>
    <dxf>
      <fill>
        <patternFill patternType="solid">
          <fgColor rgb="FFFFEB9C"/>
          <bgColor rgb="FFFFEB9C"/>
        </patternFill>
      </fill>
    </dxf>
    <dxf>
      <fill>
        <patternFill patternType="solid">
          <fgColor rgb="FFC6EFCE"/>
          <bgColor rgb="FFC6EFCE"/>
        </patternFill>
      </fill>
    </dxf>
    <dxf>
      <fill>
        <patternFill patternType="solid">
          <fgColor rgb="FFFFEB9C"/>
          <bgColor rgb="FFFFEB9C"/>
        </patternFill>
      </fill>
    </dxf>
    <dxf>
      <fill>
        <patternFill patternType="solid">
          <fgColor rgb="FFFFC7CE"/>
          <bgColor rgb="FFFFC7CE"/>
        </patternFill>
      </fill>
    </dxf>
    <dxf>
      <fill>
        <patternFill patternType="solid">
          <fgColor rgb="FFC6EFCE"/>
          <bgColor rgb="FFC6EFCE"/>
        </patternFill>
      </fill>
    </dxf>
    <dxf>
      <fill>
        <patternFill patternType="solid">
          <fgColor rgb="FFFFEB9C"/>
          <bgColor rgb="FFFFEB9C"/>
        </patternFill>
      </fill>
    </dxf>
    <dxf>
      <fill>
        <patternFill patternType="solid">
          <fgColor rgb="FFFFC7CE"/>
          <bgColor rgb="FFFFC7CE"/>
        </patternFill>
      </fill>
    </dxf>
    <dxf>
      <fill>
        <patternFill patternType="solid">
          <fgColor rgb="FFFFC7CE"/>
          <bgColor rgb="FFFFC7CE"/>
        </patternFill>
      </fill>
    </dxf>
    <dxf>
      <fill>
        <patternFill patternType="solid">
          <fgColor rgb="FFFFEB9C"/>
          <bgColor rgb="FFFFEB9C"/>
        </patternFill>
      </fill>
    </dxf>
    <dxf>
      <fill>
        <patternFill patternType="solid">
          <fgColor rgb="FFC6EFCE"/>
          <bgColor rgb="FFC6EFCE"/>
        </patternFill>
      </fill>
    </dxf>
    <dxf>
      <fill>
        <patternFill patternType="solid">
          <fgColor rgb="FFC6EFCE"/>
          <bgColor rgb="FFC6EFCE"/>
        </patternFill>
      </fill>
    </dxf>
    <dxf>
      <fill>
        <patternFill patternType="solid">
          <fgColor rgb="FFFFEB9C"/>
          <bgColor rgb="FFFFEB9C"/>
        </patternFill>
      </fill>
    </dxf>
    <dxf>
      <fill>
        <patternFill patternType="solid">
          <fgColor rgb="FFFFC7CE"/>
          <bgColor rgb="FFFFC7CE"/>
        </patternFill>
      </fill>
    </dxf>
    <dxf>
      <fill>
        <patternFill patternType="solid">
          <fgColor rgb="FFFFC7CE"/>
          <bgColor rgb="FFFFC7CE"/>
        </patternFill>
      </fill>
    </dxf>
    <dxf>
      <fill>
        <patternFill patternType="solid">
          <fgColor rgb="FFC6EFCE"/>
          <bgColor rgb="FFC6EFCE"/>
        </patternFill>
      </fill>
    </dxf>
    <dxf>
      <fill>
        <patternFill patternType="solid">
          <fgColor rgb="FFFFEB9C"/>
          <bgColor rgb="FFFFEB9C"/>
        </patternFill>
      </fill>
    </dxf>
    <dxf>
      <fill>
        <patternFill patternType="solid">
          <fgColor rgb="FFFFEB9C"/>
          <bgColor rgb="FFFFEB9C"/>
        </patternFill>
      </fill>
    </dxf>
    <dxf>
      <fill>
        <patternFill patternType="solid">
          <fgColor rgb="FFFFC7CE"/>
          <bgColor rgb="FFFFC7CE"/>
        </patternFill>
      </fill>
    </dxf>
    <dxf>
      <fill>
        <patternFill patternType="solid">
          <fgColor rgb="FFC6EFCE"/>
          <bgColor rgb="FFC6EFCE"/>
        </patternFill>
      </fill>
    </dxf>
    <dxf>
      <fill>
        <patternFill patternType="solid">
          <fgColor rgb="FFFFC7CE"/>
          <bgColor rgb="FFFFC7CE"/>
        </patternFill>
      </fill>
    </dxf>
    <dxf>
      <fill>
        <patternFill patternType="solid">
          <fgColor rgb="FFFFEB9C"/>
          <bgColor rgb="FFFFEB9C"/>
        </patternFill>
      </fill>
    </dxf>
    <dxf>
      <fill>
        <patternFill patternType="solid">
          <fgColor rgb="FFC6EFCE"/>
          <bgColor rgb="FFC6EFCE"/>
        </patternFill>
      </fill>
    </dxf>
    <dxf>
      <fill>
        <patternFill patternType="solid">
          <fgColor rgb="FFFFC7CE"/>
          <bgColor rgb="FFFFC7CE"/>
        </patternFill>
      </fill>
    </dxf>
    <dxf>
      <fill>
        <patternFill patternType="solid">
          <fgColor rgb="FFFFEB9C"/>
          <bgColor rgb="FFFFEB9C"/>
        </patternFill>
      </fill>
    </dxf>
    <dxf>
      <fill>
        <patternFill patternType="solid">
          <fgColor rgb="FFC6EFCE"/>
          <bgColor rgb="FFC6EFCE"/>
        </patternFill>
      </fill>
    </dxf>
    <dxf>
      <fill>
        <patternFill patternType="solid">
          <fgColor rgb="FFC6EFCE"/>
          <bgColor rgb="FFC6EFCE"/>
        </patternFill>
      </fill>
    </dxf>
    <dxf>
      <fill>
        <patternFill patternType="solid">
          <fgColor rgb="FFFFEB9C"/>
          <bgColor rgb="FFFFEB9C"/>
        </patternFill>
      </fill>
    </dxf>
    <dxf>
      <fill>
        <patternFill patternType="solid">
          <fgColor rgb="FFFFC7CE"/>
          <bgColor rgb="FFFFC7CE"/>
        </patternFill>
      </fill>
    </dxf>
    <dxf>
      <fill>
        <patternFill patternType="solid">
          <fgColor rgb="FFFFEB9C"/>
          <bgColor rgb="FFFFEB9C"/>
        </patternFill>
      </fill>
    </dxf>
    <dxf>
      <fill>
        <patternFill patternType="solid">
          <fgColor rgb="FFFFC7CE"/>
          <bgColor rgb="FFFFC7CE"/>
        </patternFill>
      </fill>
    </dxf>
    <dxf>
      <fill>
        <patternFill patternType="solid">
          <fgColor rgb="FFC6EFCE"/>
          <bgColor rgb="FFC6EFCE"/>
        </patternFill>
      </fill>
    </dxf>
    <dxf>
      <fill>
        <patternFill patternType="solid">
          <fgColor rgb="FFC6EFCE"/>
          <bgColor rgb="FFC6EFCE"/>
        </patternFill>
      </fill>
    </dxf>
    <dxf>
      <fill>
        <patternFill patternType="solid">
          <fgColor rgb="FFFFC7CE"/>
          <bgColor rgb="FFFFC7CE"/>
        </patternFill>
      </fill>
    </dxf>
    <dxf>
      <fill>
        <patternFill patternType="solid">
          <fgColor rgb="FFFFEB9C"/>
          <bgColor rgb="FFFFEB9C"/>
        </patternFill>
      </fill>
    </dxf>
    <dxf>
      <fill>
        <patternFill patternType="solid">
          <fgColor rgb="FFC6EFCE"/>
          <bgColor rgb="FFC6EFCE"/>
        </patternFill>
      </fill>
    </dxf>
    <dxf>
      <fill>
        <patternFill patternType="solid">
          <fgColor rgb="FFFFC7CE"/>
          <bgColor rgb="FFFFC7CE"/>
        </patternFill>
      </fill>
    </dxf>
    <dxf>
      <fill>
        <patternFill patternType="solid">
          <fgColor rgb="FFFFEB9C"/>
          <bgColor rgb="FFFFEB9C"/>
        </patternFill>
      </fill>
    </dxf>
    <dxf>
      <fill>
        <patternFill patternType="solid">
          <fgColor rgb="FFFFC7CE"/>
          <bgColor rgb="FFFFC7CE"/>
        </patternFill>
      </fill>
    </dxf>
    <dxf>
      <fill>
        <patternFill patternType="solid">
          <fgColor rgb="FFFFEB9C"/>
          <bgColor rgb="FFFFEB9C"/>
        </patternFill>
      </fill>
    </dxf>
    <dxf>
      <fill>
        <patternFill patternType="solid">
          <fgColor rgb="FFC6EFCE"/>
          <bgColor rgb="FFC6EFCE"/>
        </patternFill>
      </fill>
    </dxf>
    <dxf>
      <fill>
        <patternFill patternType="solid">
          <fgColor rgb="FFFFC7CE"/>
          <bgColor rgb="FFFFC7CE"/>
        </patternFill>
      </fill>
    </dxf>
    <dxf>
      <fill>
        <patternFill patternType="solid">
          <fgColor rgb="FFFFEB9C"/>
          <bgColor rgb="FFFFEB9C"/>
        </patternFill>
      </fill>
    </dxf>
    <dxf>
      <fill>
        <patternFill patternType="solid">
          <fgColor rgb="FFC6EFCE"/>
          <bgColor rgb="FFC6EFCE"/>
        </patternFill>
      </fill>
    </dxf>
    <dxf>
      <fill>
        <patternFill patternType="solid">
          <fgColor rgb="FFFFC7CE"/>
          <bgColor rgb="FFFFC7CE"/>
        </patternFill>
      </fill>
    </dxf>
    <dxf>
      <fill>
        <patternFill patternType="solid">
          <fgColor rgb="FFC6EFCE"/>
          <bgColor rgb="FFC6EFCE"/>
        </patternFill>
      </fill>
    </dxf>
    <dxf>
      <fill>
        <patternFill patternType="solid">
          <fgColor rgb="FFFFEB9C"/>
          <bgColor rgb="FFFFEB9C"/>
        </patternFill>
      </fill>
    </dxf>
    <dxf>
      <fill>
        <patternFill patternType="solid">
          <fgColor rgb="FFC6EFCE"/>
          <bgColor rgb="FFC6EFCE"/>
        </patternFill>
      </fill>
    </dxf>
    <dxf>
      <fill>
        <patternFill patternType="solid">
          <fgColor rgb="FFFFC7CE"/>
          <bgColor rgb="FFFFC7CE"/>
        </patternFill>
      </fill>
    </dxf>
    <dxf>
      <fill>
        <patternFill patternType="solid">
          <fgColor rgb="FFFFEB9C"/>
          <bgColor rgb="FFFFEB9C"/>
        </patternFill>
      </fill>
    </dxf>
    <dxf>
      <fill>
        <patternFill patternType="solid">
          <fgColor rgb="FFC6EFCE"/>
          <bgColor rgb="FFC6EFCE"/>
        </patternFill>
      </fill>
    </dxf>
    <dxf>
      <fill>
        <patternFill patternType="solid">
          <fgColor rgb="FFFFEB9C"/>
          <bgColor rgb="FFFFEB9C"/>
        </patternFill>
      </fill>
    </dxf>
    <dxf>
      <fill>
        <patternFill patternType="solid">
          <fgColor rgb="FFFFC7CE"/>
          <bgColor rgb="FFFFC7CE"/>
        </patternFill>
      </fill>
    </dxf>
    <dxf>
      <fill>
        <patternFill patternType="solid">
          <fgColor rgb="FFC6EFCE"/>
          <bgColor rgb="FFC6EFCE"/>
        </patternFill>
      </fill>
    </dxf>
    <dxf>
      <fill>
        <patternFill patternType="solid">
          <fgColor rgb="FFFFC7CE"/>
          <bgColor rgb="FFFFC7CE"/>
        </patternFill>
      </fill>
    </dxf>
    <dxf>
      <fill>
        <patternFill patternType="solid">
          <fgColor rgb="FFFFEB9C"/>
          <bgColor rgb="FFFFEB9C"/>
        </patternFill>
      </fill>
    </dxf>
    <dxf>
      <fill>
        <patternFill patternType="solid">
          <fgColor rgb="FFFFC7CE"/>
          <bgColor rgb="FFFFC7CE"/>
        </patternFill>
      </fill>
    </dxf>
    <dxf>
      <fill>
        <patternFill patternType="solid">
          <fgColor rgb="FFFFEB9C"/>
          <bgColor rgb="FFFFEB9C"/>
        </patternFill>
      </fill>
    </dxf>
    <dxf>
      <fill>
        <patternFill patternType="solid">
          <fgColor rgb="FFC6EFCE"/>
          <bgColor rgb="FFC6EFCE"/>
        </patternFill>
      </fill>
    </dxf>
    <dxf>
      <fill>
        <patternFill patternType="solid">
          <fgColor rgb="FFFFEB9C"/>
          <bgColor rgb="FFFFEB9C"/>
        </patternFill>
      </fill>
    </dxf>
    <dxf>
      <fill>
        <patternFill patternType="solid">
          <fgColor rgb="FFC6EFCE"/>
          <bgColor rgb="FFC6EFCE"/>
        </patternFill>
      </fill>
    </dxf>
    <dxf>
      <fill>
        <patternFill patternType="solid">
          <fgColor rgb="FFFFC7CE"/>
          <bgColor rgb="FFFFC7CE"/>
        </patternFill>
      </fill>
    </dxf>
    <dxf>
      <fill>
        <patternFill patternType="solid">
          <fgColor rgb="FFC6EFCE"/>
          <bgColor rgb="FFC6EFCE"/>
        </patternFill>
      </fill>
    </dxf>
    <dxf>
      <fill>
        <patternFill patternType="solid">
          <fgColor rgb="FFFFC7CE"/>
          <bgColor rgb="FFFFC7CE"/>
        </patternFill>
      </fill>
    </dxf>
    <dxf>
      <fill>
        <patternFill patternType="solid">
          <fgColor rgb="FFFFEB9C"/>
          <bgColor rgb="FFFFEB9C"/>
        </patternFill>
      </fill>
    </dxf>
    <dxf>
      <fill>
        <patternFill patternType="solid">
          <fgColor rgb="FFFFC7CE"/>
          <bgColor rgb="FFFFC7CE"/>
        </patternFill>
      </fill>
    </dxf>
    <dxf>
      <fill>
        <patternFill patternType="solid">
          <fgColor rgb="FFFFEB9C"/>
          <bgColor rgb="FFFFEB9C"/>
        </patternFill>
      </fill>
    </dxf>
    <dxf>
      <fill>
        <patternFill patternType="solid">
          <fgColor rgb="FFC6EFCE"/>
          <bgColor rgb="FFC6EFCE"/>
        </patternFill>
      </fill>
    </dxf>
    <dxf>
      <fill>
        <patternFill patternType="solid">
          <fgColor rgb="FFC6EFCE"/>
          <bgColor rgb="FFC6EFCE"/>
        </patternFill>
      </fill>
    </dxf>
    <dxf>
      <fill>
        <patternFill patternType="solid">
          <fgColor rgb="FFFFEB9C"/>
          <bgColor rgb="FFFFEB9C"/>
        </patternFill>
      </fill>
    </dxf>
    <dxf>
      <fill>
        <patternFill patternType="solid">
          <fgColor rgb="FFFFC7CE"/>
          <bgColor rgb="FFFFC7CE"/>
        </patternFill>
      </fill>
    </dxf>
    <dxf>
      <fill>
        <patternFill patternType="solid">
          <fgColor rgb="FFC6EFCE"/>
          <bgColor rgb="FFC6EFCE"/>
        </patternFill>
      </fill>
    </dxf>
    <dxf>
      <fill>
        <patternFill patternType="solid">
          <fgColor rgb="FFFFEB9C"/>
          <bgColor rgb="FFFFEB9C"/>
        </patternFill>
      </fill>
    </dxf>
    <dxf>
      <fill>
        <patternFill patternType="solid">
          <fgColor rgb="FFFFC7CE"/>
          <bgColor rgb="FFFFC7CE"/>
        </patternFill>
      </fill>
    </dxf>
    <dxf>
      <fill>
        <patternFill patternType="solid">
          <fgColor rgb="FFFFC7CE"/>
          <bgColor rgb="FFFFC7CE"/>
        </patternFill>
      </fill>
    </dxf>
    <dxf>
      <fill>
        <patternFill patternType="solid">
          <fgColor rgb="FFC6EFCE"/>
          <bgColor rgb="FFC6EFCE"/>
        </patternFill>
      </fill>
    </dxf>
    <dxf>
      <fill>
        <patternFill patternType="solid">
          <fgColor rgb="FFFFEB9C"/>
          <bgColor rgb="FFFFEB9C"/>
        </patternFill>
      </fill>
    </dxf>
    <dxf>
      <fill>
        <patternFill patternType="solid">
          <fgColor rgb="FFFFC7CE"/>
          <bgColor rgb="FFFFC7CE"/>
        </patternFill>
      </fill>
    </dxf>
    <dxf>
      <fill>
        <patternFill patternType="solid">
          <fgColor rgb="FFFFEB9C"/>
          <bgColor rgb="FFFFEB9C"/>
        </patternFill>
      </fill>
    </dxf>
    <dxf>
      <fill>
        <patternFill patternType="solid">
          <fgColor rgb="FFC6EFCE"/>
          <bgColor rgb="FFC6EFCE"/>
        </patternFill>
      </fill>
    </dxf>
    <dxf>
      <fill>
        <patternFill patternType="solid">
          <fgColor rgb="FFFFEB9C"/>
          <bgColor rgb="FFFFEB9C"/>
        </patternFill>
      </fill>
    </dxf>
    <dxf>
      <fill>
        <patternFill patternType="solid">
          <fgColor rgb="FFC6EFCE"/>
          <bgColor rgb="FFC6EFCE"/>
        </patternFill>
      </fill>
    </dxf>
    <dxf>
      <fill>
        <patternFill patternType="solid">
          <fgColor rgb="FFFFC7CE"/>
          <bgColor rgb="FFFFC7CE"/>
        </patternFill>
      </fill>
    </dxf>
    <dxf>
      <fill>
        <patternFill patternType="solid">
          <fgColor rgb="FFFFC7CE"/>
          <bgColor rgb="FFFFC7CE"/>
        </patternFill>
      </fill>
    </dxf>
    <dxf>
      <fill>
        <patternFill patternType="solid">
          <fgColor rgb="FFFFEB9C"/>
          <bgColor rgb="FFFFEB9C"/>
        </patternFill>
      </fill>
    </dxf>
    <dxf>
      <fill>
        <patternFill patternType="solid">
          <fgColor rgb="FFC6EFCE"/>
          <bgColor rgb="FFC6EFCE"/>
        </patternFill>
      </fill>
    </dxf>
    <dxf>
      <fill>
        <patternFill patternType="solid">
          <fgColor rgb="FFFFC7CE"/>
          <bgColor rgb="FFFFC7CE"/>
        </patternFill>
      </fill>
    </dxf>
    <dxf>
      <fill>
        <patternFill patternType="solid">
          <fgColor rgb="FFFFEB9C"/>
          <bgColor rgb="FFFFEB9C"/>
        </patternFill>
      </fill>
    </dxf>
    <dxf>
      <fill>
        <patternFill patternType="solid">
          <fgColor rgb="FFC6EFCE"/>
          <bgColor rgb="FFC6EFCE"/>
        </patternFill>
      </fill>
    </dxf>
    <dxf>
      <fill>
        <patternFill patternType="solid">
          <fgColor rgb="FFFFC7CE"/>
          <bgColor rgb="FFFFC7CE"/>
        </patternFill>
      </fill>
    </dxf>
    <dxf>
      <fill>
        <patternFill patternType="solid">
          <fgColor rgb="FFFFEB9C"/>
          <bgColor rgb="FFFFEB9C"/>
        </patternFill>
      </fill>
    </dxf>
    <dxf>
      <fill>
        <patternFill patternType="solid">
          <fgColor rgb="FFC6EFCE"/>
          <bgColor rgb="FFC6EFCE"/>
        </patternFill>
      </fill>
    </dxf>
    <dxf>
      <fill>
        <patternFill patternType="solid">
          <fgColor rgb="FFFFC7CE"/>
          <bgColor rgb="FFFFC7CE"/>
        </patternFill>
      </fill>
    </dxf>
    <dxf>
      <fill>
        <patternFill patternType="solid">
          <fgColor rgb="FFFFEB9C"/>
          <bgColor rgb="FFFFEB9C"/>
        </patternFill>
      </fill>
    </dxf>
    <dxf>
      <fill>
        <patternFill patternType="solid">
          <fgColor rgb="FFC6EFCE"/>
          <bgColor rgb="FFC6EFCE"/>
        </patternFill>
      </fill>
    </dxf>
    <dxf>
      <fill>
        <patternFill patternType="solid">
          <fgColor rgb="FFFFEB9C"/>
          <bgColor rgb="FFFFEB9C"/>
        </patternFill>
      </fill>
    </dxf>
    <dxf>
      <fill>
        <patternFill patternType="solid">
          <fgColor rgb="FFC6EFCE"/>
          <bgColor rgb="FFC6EFCE"/>
        </patternFill>
      </fill>
    </dxf>
    <dxf>
      <fill>
        <patternFill patternType="solid">
          <fgColor rgb="FFFFC7CE"/>
          <bgColor rgb="FFFFC7CE"/>
        </patternFill>
      </fill>
    </dxf>
    <dxf>
      <fill>
        <patternFill patternType="solid">
          <fgColor rgb="FFC6EFCE"/>
          <bgColor rgb="FFC6EFCE"/>
        </patternFill>
      </fill>
    </dxf>
    <dxf>
      <fill>
        <patternFill patternType="solid">
          <fgColor rgb="FFFFEB9C"/>
          <bgColor rgb="FFFFEB9C"/>
        </patternFill>
      </fill>
    </dxf>
    <dxf>
      <fill>
        <patternFill patternType="solid">
          <fgColor rgb="FFFFC7CE"/>
          <bgColor rgb="FFFFC7CE"/>
        </patternFill>
      </fill>
    </dxf>
    <dxf>
      <fill>
        <patternFill patternType="solid">
          <fgColor rgb="FFFFC7CE"/>
          <bgColor rgb="FFFFC7CE"/>
        </patternFill>
      </fill>
    </dxf>
    <dxf>
      <fill>
        <patternFill patternType="solid">
          <fgColor rgb="FFFFEB9C"/>
          <bgColor rgb="FFFFEB9C"/>
        </patternFill>
      </fill>
    </dxf>
    <dxf>
      <fill>
        <patternFill patternType="solid">
          <fgColor rgb="FFC6EFCE"/>
          <bgColor rgb="FFC6EFCE"/>
        </patternFill>
      </fill>
    </dxf>
    <dxf>
      <fill>
        <patternFill patternType="solid">
          <fgColor rgb="FFFFC7CE"/>
          <bgColor rgb="FFFFC7CE"/>
        </patternFill>
      </fill>
    </dxf>
    <dxf>
      <fill>
        <patternFill patternType="solid">
          <fgColor rgb="FFFFEB9C"/>
          <bgColor rgb="FFFFEB9C"/>
        </patternFill>
      </fill>
    </dxf>
    <dxf>
      <fill>
        <patternFill patternType="solid">
          <fgColor rgb="FFC6EFCE"/>
          <bgColor rgb="FFC6EFCE"/>
        </patternFill>
      </fill>
    </dxf>
    <dxf>
      <fill>
        <patternFill patternType="solid">
          <fgColor rgb="FFFFC7CE"/>
          <bgColor rgb="FFFFC7CE"/>
        </patternFill>
      </fill>
    </dxf>
    <dxf>
      <fill>
        <patternFill patternType="solid">
          <fgColor rgb="FFFFEB9C"/>
          <bgColor rgb="FFFFEB9C"/>
        </patternFill>
      </fill>
    </dxf>
    <dxf>
      <fill>
        <patternFill patternType="solid">
          <fgColor rgb="FFC6EFCE"/>
          <bgColor rgb="FFC6EFCE"/>
        </patternFill>
      </fill>
    </dxf>
    <dxf>
      <fill>
        <patternFill patternType="solid">
          <fgColor rgb="FFFFC7CE"/>
          <bgColor rgb="FFFFC7CE"/>
        </patternFill>
      </fill>
    </dxf>
    <dxf>
      <fill>
        <patternFill patternType="solid">
          <fgColor rgb="FFFFEB9C"/>
          <bgColor rgb="FFFFEB9C"/>
        </patternFill>
      </fill>
    </dxf>
    <dxf>
      <fill>
        <patternFill patternType="solid">
          <fgColor rgb="FFC6EFCE"/>
          <bgColor rgb="FFC6EFCE"/>
        </patternFill>
      </fill>
    </dxf>
    <dxf>
      <fill>
        <patternFill patternType="solid">
          <fgColor rgb="FFFFC7CE"/>
          <bgColor rgb="FFFFC7CE"/>
        </patternFill>
      </fill>
    </dxf>
    <dxf>
      <fill>
        <patternFill patternType="solid">
          <fgColor rgb="FFFFEB9C"/>
          <bgColor rgb="FFFFEB9C"/>
        </patternFill>
      </fill>
    </dxf>
    <dxf>
      <fill>
        <patternFill patternType="solid">
          <fgColor rgb="FFC6EFCE"/>
          <bgColor rgb="FFC6EFCE"/>
        </patternFill>
      </fill>
    </dxf>
    <dxf>
      <fill>
        <patternFill patternType="solid">
          <fgColor rgb="FFFFEB9C"/>
          <bgColor rgb="FFFFEB9C"/>
        </patternFill>
      </fill>
    </dxf>
    <dxf>
      <fill>
        <patternFill patternType="solid">
          <fgColor rgb="FFC6EFCE"/>
          <bgColor rgb="FFC6EFCE"/>
        </patternFill>
      </fill>
    </dxf>
    <dxf>
      <fill>
        <patternFill patternType="solid">
          <fgColor rgb="FFFFC7CE"/>
          <bgColor rgb="FFFFC7CE"/>
        </patternFill>
      </fill>
    </dxf>
    <dxf>
      <fill>
        <patternFill patternType="solid">
          <fgColor rgb="FFC6EFCE"/>
          <bgColor rgb="FFC6EFCE"/>
        </patternFill>
      </fill>
    </dxf>
    <dxf>
      <fill>
        <patternFill patternType="solid">
          <fgColor rgb="FFFFEB9C"/>
          <bgColor rgb="FFFFEB9C"/>
        </patternFill>
      </fill>
    </dxf>
    <dxf>
      <fill>
        <patternFill patternType="solid">
          <fgColor rgb="FFFFC7CE"/>
          <bgColor rgb="FFFFC7CE"/>
        </patternFill>
      </fill>
    </dxf>
    <dxf>
      <fill>
        <patternFill patternType="solid">
          <fgColor rgb="FFFFEB9C"/>
          <bgColor rgb="FFFFEB9C"/>
        </patternFill>
      </fill>
    </dxf>
    <dxf>
      <fill>
        <patternFill patternType="solid">
          <fgColor rgb="FFFFC7CE"/>
          <bgColor rgb="FFFFC7CE"/>
        </patternFill>
      </fill>
    </dxf>
    <dxf>
      <fill>
        <patternFill patternType="solid">
          <fgColor rgb="FFC6EFCE"/>
          <bgColor rgb="FFC6EFCE"/>
        </patternFill>
      </fill>
    </dxf>
    <dxf>
      <fill>
        <patternFill patternType="solid">
          <fgColor rgb="FFFFC7CE"/>
          <bgColor rgb="FFFFC7CE"/>
        </patternFill>
      </fill>
    </dxf>
    <dxf>
      <fill>
        <patternFill patternType="solid">
          <fgColor rgb="FFFFEB9C"/>
          <bgColor rgb="FFFFEB9C"/>
        </patternFill>
      </fill>
    </dxf>
    <dxf>
      <fill>
        <patternFill patternType="solid">
          <fgColor rgb="FFC6EFCE"/>
          <bgColor rgb="FFC6EFCE"/>
        </patternFill>
      </fill>
    </dxf>
    <dxf>
      <fill>
        <patternFill patternType="solid">
          <fgColor rgb="FFFFC7CE"/>
          <bgColor rgb="FFFFC7CE"/>
        </patternFill>
      </fill>
    </dxf>
    <dxf>
      <fill>
        <patternFill patternType="solid">
          <fgColor rgb="FFFFEB9C"/>
          <bgColor rgb="FFFFEB9C"/>
        </patternFill>
      </fill>
    </dxf>
    <dxf>
      <fill>
        <patternFill patternType="solid">
          <fgColor rgb="FFC6EFCE"/>
          <bgColor rgb="FFC6EFCE"/>
        </patternFill>
      </fill>
    </dxf>
    <dxf>
      <fill>
        <patternFill patternType="solid">
          <fgColor rgb="FFFFC7CE"/>
          <bgColor rgb="FFFFC7CE"/>
        </patternFill>
      </fill>
    </dxf>
    <dxf>
      <fill>
        <patternFill patternType="solid">
          <fgColor rgb="FFFFEB9C"/>
          <bgColor rgb="FFFFEB9C"/>
        </patternFill>
      </fill>
    </dxf>
    <dxf>
      <fill>
        <patternFill patternType="solid">
          <fgColor rgb="FFC6EFCE"/>
          <bgColor rgb="FFC6EFCE"/>
        </patternFill>
      </fill>
    </dxf>
    <dxf>
      <fill>
        <patternFill patternType="solid">
          <fgColor rgb="FFFFC7CE"/>
          <bgColor rgb="FFFFC7CE"/>
        </patternFill>
      </fill>
    </dxf>
    <dxf>
      <fill>
        <patternFill patternType="solid">
          <fgColor rgb="FFFFEB9C"/>
          <bgColor rgb="FFFFEB9C"/>
        </patternFill>
      </fill>
    </dxf>
    <dxf>
      <fill>
        <patternFill patternType="solid">
          <fgColor rgb="FFC6EFCE"/>
          <bgColor rgb="FFC6EFCE"/>
        </patternFill>
      </fill>
    </dxf>
    <dxf>
      <fill>
        <patternFill patternType="solid">
          <fgColor rgb="FFFFC7CE"/>
          <bgColor rgb="FFFFC7CE"/>
        </patternFill>
      </fill>
    </dxf>
    <dxf>
      <fill>
        <patternFill patternType="solid">
          <fgColor rgb="FFFFEB9C"/>
          <bgColor rgb="FFFFEB9C"/>
        </patternFill>
      </fill>
    </dxf>
    <dxf>
      <fill>
        <patternFill patternType="solid">
          <fgColor rgb="FFC6EFCE"/>
          <bgColor rgb="FFC6EFCE"/>
        </patternFill>
      </fill>
    </dxf>
    <dxf>
      <fill>
        <patternFill patternType="solid">
          <fgColor rgb="FFFFC7CE"/>
          <bgColor rgb="FFFFC7CE"/>
        </patternFill>
      </fill>
    </dxf>
    <dxf>
      <fill>
        <patternFill patternType="solid">
          <fgColor rgb="FFFFEB9C"/>
          <bgColor rgb="FFFFEB9C"/>
        </patternFill>
      </fill>
    </dxf>
    <dxf>
      <fill>
        <patternFill patternType="solid">
          <fgColor rgb="FFC6EFCE"/>
          <bgColor rgb="FFC6EFCE"/>
        </patternFill>
      </fill>
    </dxf>
    <dxf>
      <fill>
        <patternFill patternType="solid">
          <fgColor rgb="FFFFC7CE"/>
          <bgColor rgb="FFFFC7CE"/>
        </patternFill>
      </fill>
    </dxf>
    <dxf>
      <fill>
        <patternFill patternType="solid">
          <fgColor rgb="FFFFEB9C"/>
          <bgColor rgb="FFFFEB9C"/>
        </patternFill>
      </fill>
    </dxf>
    <dxf>
      <fill>
        <patternFill patternType="solid">
          <fgColor rgb="FFC6EFCE"/>
          <bgColor rgb="FFC6EFCE"/>
        </patternFill>
      </fill>
    </dxf>
    <dxf>
      <fill>
        <patternFill patternType="solid">
          <fgColor rgb="FFFFEB9C"/>
          <bgColor rgb="FFFFEB9C"/>
        </patternFill>
      </fill>
    </dxf>
    <dxf>
      <fill>
        <patternFill patternType="solid">
          <fgColor rgb="FFFFC7CE"/>
          <bgColor rgb="FFFFC7CE"/>
        </patternFill>
      </fill>
    </dxf>
    <dxf>
      <fill>
        <patternFill patternType="solid">
          <fgColor rgb="FFC6EFCE"/>
          <bgColor rgb="FFC6EFCE"/>
        </patternFill>
      </fill>
    </dxf>
    <dxf>
      <fill>
        <patternFill patternType="solid">
          <fgColor rgb="FFC6EFCE"/>
          <bgColor rgb="FFC6EFCE"/>
        </patternFill>
      </fill>
    </dxf>
    <dxf>
      <fill>
        <patternFill patternType="solid">
          <fgColor rgb="FFFFEB9C"/>
          <bgColor rgb="FFFFEB9C"/>
        </patternFill>
      </fill>
    </dxf>
    <dxf>
      <fill>
        <patternFill patternType="solid">
          <fgColor rgb="FFFFC7CE"/>
          <bgColor rgb="FFFFC7CE"/>
        </patternFill>
      </fill>
    </dxf>
    <dxf>
      <fill>
        <patternFill patternType="solid">
          <fgColor rgb="FFFFEB9C"/>
          <bgColor rgb="FFFFEB9C"/>
        </patternFill>
      </fill>
    </dxf>
    <dxf>
      <fill>
        <patternFill patternType="solid">
          <fgColor rgb="FFFFC7CE"/>
          <bgColor rgb="FFFFC7CE"/>
        </patternFill>
      </fill>
    </dxf>
    <dxf>
      <fill>
        <patternFill patternType="solid">
          <fgColor rgb="FFC6EFCE"/>
          <bgColor rgb="FFC6EFCE"/>
        </patternFill>
      </fill>
    </dxf>
    <dxf>
      <fill>
        <patternFill patternType="solid">
          <fgColor rgb="FFC6EFCE"/>
          <bgColor rgb="FFC6EFCE"/>
        </patternFill>
      </fill>
    </dxf>
    <dxf>
      <fill>
        <patternFill patternType="solid">
          <fgColor rgb="FFFFEB9C"/>
          <bgColor rgb="FFFFEB9C"/>
        </patternFill>
      </fill>
    </dxf>
    <dxf>
      <fill>
        <patternFill patternType="solid">
          <fgColor rgb="FFFFC7CE"/>
          <bgColor rgb="FFFFC7CE"/>
        </patternFill>
      </fill>
    </dxf>
    <dxf>
      <fill>
        <patternFill patternType="solid">
          <fgColor rgb="FFFFEB9C"/>
          <bgColor rgb="FFFFEB9C"/>
        </patternFill>
      </fill>
    </dxf>
    <dxf>
      <fill>
        <patternFill patternType="solid">
          <fgColor rgb="FFC6EFCE"/>
          <bgColor rgb="FFC6EFCE"/>
        </patternFill>
      </fill>
    </dxf>
    <dxf>
      <fill>
        <patternFill patternType="solid">
          <fgColor rgb="FFFFC7CE"/>
          <bgColor rgb="FFFFC7CE"/>
        </patternFill>
      </fill>
    </dxf>
    <dxf>
      <fill>
        <patternFill patternType="solid">
          <fgColor rgb="FFC6EFCE"/>
          <bgColor rgb="FFC6EFCE"/>
        </patternFill>
      </fill>
    </dxf>
    <dxf>
      <fill>
        <patternFill patternType="solid">
          <fgColor rgb="FFFFC7CE"/>
          <bgColor rgb="FFFFC7CE"/>
        </patternFill>
      </fill>
    </dxf>
    <dxf>
      <fill>
        <patternFill patternType="solid">
          <fgColor rgb="FFFFEB9C"/>
          <bgColor rgb="FFFFEB9C"/>
        </patternFill>
      </fill>
    </dxf>
    <dxf>
      <fill>
        <patternFill patternType="solid">
          <fgColor rgb="FFFFEB9C"/>
          <bgColor rgb="FFFFEB9C"/>
        </patternFill>
      </fill>
    </dxf>
    <dxf>
      <fill>
        <patternFill patternType="solid">
          <fgColor rgb="FFFFC7CE"/>
          <bgColor rgb="FFFFC7CE"/>
        </patternFill>
      </fill>
    </dxf>
    <dxf>
      <fill>
        <patternFill patternType="solid">
          <fgColor rgb="FFC6EFCE"/>
          <bgColor rgb="FFC6EFCE"/>
        </patternFill>
      </fill>
    </dxf>
    <dxf>
      <fill>
        <patternFill patternType="solid">
          <fgColor rgb="FFFFC7CE"/>
          <bgColor rgb="FFFFC7CE"/>
        </patternFill>
      </fill>
    </dxf>
    <dxf>
      <fill>
        <patternFill patternType="solid">
          <fgColor rgb="FFFFEB9C"/>
          <bgColor rgb="FFFFEB9C"/>
        </patternFill>
      </fill>
    </dxf>
    <dxf>
      <fill>
        <patternFill patternType="solid">
          <fgColor rgb="FFC6EFCE"/>
          <bgColor rgb="FFC6EFCE"/>
        </patternFill>
      </fill>
    </dxf>
    <dxf>
      <fill>
        <patternFill patternType="solid">
          <fgColor rgb="FFFFEB9C"/>
          <bgColor rgb="FFFFEB9C"/>
        </patternFill>
      </fill>
    </dxf>
    <dxf>
      <fill>
        <patternFill patternType="solid">
          <fgColor rgb="FFC6EFCE"/>
          <bgColor rgb="FFC6EFCE"/>
        </patternFill>
      </fill>
    </dxf>
    <dxf>
      <fill>
        <patternFill patternType="solid">
          <fgColor rgb="FFFFC7CE"/>
          <bgColor rgb="FFFFC7CE"/>
        </patternFill>
      </fill>
    </dxf>
    <dxf>
      <fill>
        <patternFill patternType="solid">
          <fgColor rgb="FFFFC7CE"/>
          <bgColor rgb="FFFFC7CE"/>
        </patternFill>
      </fill>
    </dxf>
    <dxf>
      <fill>
        <patternFill patternType="solid">
          <fgColor rgb="FFC6EFCE"/>
          <bgColor rgb="FFC6EFCE"/>
        </patternFill>
      </fill>
    </dxf>
    <dxf>
      <fill>
        <patternFill patternType="solid">
          <fgColor rgb="FFFFEB9C"/>
          <bgColor rgb="FFFFEB9C"/>
        </patternFill>
      </fill>
    </dxf>
    <dxf>
      <fill>
        <patternFill patternType="solid">
          <fgColor rgb="FFFFC7CE"/>
          <bgColor rgb="FFFFC7CE"/>
        </patternFill>
      </fill>
    </dxf>
    <dxf>
      <fill>
        <patternFill patternType="solid">
          <fgColor rgb="FFC6EFCE"/>
          <bgColor rgb="FFC6EFCE"/>
        </patternFill>
      </fill>
    </dxf>
    <dxf>
      <fill>
        <patternFill patternType="solid">
          <fgColor rgb="FFFFEB9C"/>
          <bgColor rgb="FFFFEB9C"/>
        </patternFill>
      </fill>
    </dxf>
    <dxf>
      <fill>
        <patternFill patternType="solid">
          <fgColor rgb="FFFFC7CE"/>
          <bgColor rgb="FFFFC7CE"/>
        </patternFill>
      </fill>
    </dxf>
    <dxf>
      <fill>
        <patternFill patternType="solid">
          <fgColor rgb="FFC6EFCE"/>
          <bgColor rgb="FFC6EFCE"/>
        </patternFill>
      </fill>
    </dxf>
    <dxf>
      <fill>
        <patternFill patternType="solid">
          <fgColor rgb="FFFFEB9C"/>
          <bgColor rgb="FFFFEB9C"/>
        </patternFill>
      </fill>
    </dxf>
    <dxf>
      <fill>
        <patternFill patternType="solid">
          <fgColor rgb="FFFFEB9C"/>
          <bgColor rgb="FFFFEB9C"/>
        </patternFill>
      </fill>
    </dxf>
    <dxf>
      <fill>
        <patternFill patternType="solid">
          <fgColor rgb="FFFFC7CE"/>
          <bgColor rgb="FFFFC7CE"/>
        </patternFill>
      </fill>
    </dxf>
    <dxf>
      <fill>
        <patternFill patternType="solid">
          <fgColor rgb="FFC6EFCE"/>
          <bgColor rgb="FFC6EFCE"/>
        </patternFill>
      </fill>
    </dxf>
    <dxf>
      <fill>
        <patternFill patternType="solid">
          <fgColor rgb="FFC6EFCE"/>
          <bgColor rgb="FFC6EFCE"/>
        </patternFill>
      </fill>
    </dxf>
    <dxf>
      <fill>
        <patternFill patternType="solid">
          <fgColor rgb="FFFFEB9C"/>
          <bgColor rgb="FFFFEB9C"/>
        </patternFill>
      </fill>
    </dxf>
    <dxf>
      <fill>
        <patternFill patternType="solid">
          <fgColor rgb="FFFFC7CE"/>
          <bgColor rgb="FFFFC7CE"/>
        </patternFill>
      </fill>
    </dxf>
    <dxf>
      <fill>
        <patternFill patternType="solid">
          <fgColor rgb="FFFFEB9C"/>
          <bgColor rgb="FFFFEB9C"/>
        </patternFill>
      </fill>
    </dxf>
    <dxf>
      <fill>
        <patternFill patternType="solid">
          <fgColor rgb="FFFFC7CE"/>
          <bgColor rgb="FFFFC7CE"/>
        </patternFill>
      </fill>
    </dxf>
    <dxf>
      <fill>
        <patternFill patternType="solid">
          <fgColor rgb="FFC6EFCE"/>
          <bgColor rgb="FFC6EFCE"/>
        </patternFill>
      </fill>
    </dxf>
    <dxf>
      <fill>
        <patternFill patternType="solid">
          <fgColor rgb="FFFFC7CE"/>
          <bgColor rgb="FFFFC7CE"/>
        </patternFill>
      </fill>
    </dxf>
    <dxf>
      <fill>
        <patternFill patternType="solid">
          <fgColor rgb="FFC6EFCE"/>
          <bgColor rgb="FFC6EFCE"/>
        </patternFill>
      </fill>
    </dxf>
    <dxf>
      <fill>
        <patternFill patternType="solid">
          <fgColor rgb="FFFFEB9C"/>
          <bgColor rgb="FFFFEB9C"/>
        </patternFill>
      </fill>
    </dxf>
    <dxf>
      <fill>
        <patternFill patternType="solid">
          <fgColor rgb="FFFFC7CE"/>
          <bgColor rgb="FFFFC7CE"/>
        </patternFill>
      </fill>
    </dxf>
    <dxf>
      <fill>
        <patternFill patternType="solid">
          <fgColor rgb="FFFFEB9C"/>
          <bgColor rgb="FFFFEB9C"/>
        </patternFill>
      </fill>
    </dxf>
    <dxf>
      <fill>
        <patternFill patternType="solid">
          <fgColor rgb="FFC6EFCE"/>
          <bgColor rgb="FFC6EFCE"/>
        </patternFill>
      </fill>
    </dxf>
    <dxf>
      <fill>
        <patternFill patternType="solid">
          <fgColor rgb="FFFFC7CE"/>
          <bgColor rgb="FFFFC7CE"/>
        </patternFill>
      </fill>
    </dxf>
    <dxf>
      <fill>
        <patternFill patternType="solid">
          <fgColor rgb="FFFFEB9C"/>
          <bgColor rgb="FFFFEB9C"/>
        </patternFill>
      </fill>
    </dxf>
    <dxf>
      <fill>
        <patternFill patternType="solid">
          <fgColor rgb="FFC6EFCE"/>
          <bgColor rgb="FFC6EFCE"/>
        </patternFill>
      </fill>
    </dxf>
    <dxf>
      <fill>
        <patternFill patternType="solid">
          <fgColor rgb="FFFFEB9C"/>
          <bgColor rgb="FFFFEB9C"/>
        </patternFill>
      </fill>
    </dxf>
    <dxf>
      <fill>
        <patternFill patternType="solid">
          <fgColor rgb="FFC6EFCE"/>
          <bgColor rgb="FFC6EFCE"/>
        </patternFill>
      </fill>
    </dxf>
    <dxf>
      <fill>
        <patternFill patternType="solid">
          <fgColor rgb="FFFFC7CE"/>
          <bgColor rgb="FFFFC7CE"/>
        </patternFill>
      </fill>
    </dxf>
    <dxf>
      <fill>
        <patternFill patternType="solid">
          <fgColor rgb="FFFFEB9C"/>
          <bgColor rgb="FFFFEB9C"/>
        </patternFill>
      </fill>
    </dxf>
    <dxf>
      <fill>
        <patternFill patternType="solid">
          <fgColor rgb="FFC6EFCE"/>
          <bgColor rgb="FFC6EFCE"/>
        </patternFill>
      </fill>
    </dxf>
    <dxf>
      <fill>
        <patternFill patternType="solid">
          <fgColor rgb="FFFFC7CE"/>
          <bgColor rgb="FFFFC7CE"/>
        </patternFill>
      </fill>
    </dxf>
    <dxf>
      <fill>
        <patternFill patternType="solid">
          <fgColor rgb="FFFFC7CE"/>
          <bgColor rgb="FFFFC7CE"/>
        </patternFill>
      </fill>
    </dxf>
    <dxf>
      <fill>
        <patternFill patternType="solid">
          <fgColor rgb="FFFFEB9C"/>
          <bgColor rgb="FFFFEB9C"/>
        </patternFill>
      </fill>
    </dxf>
    <dxf>
      <fill>
        <patternFill patternType="solid">
          <fgColor rgb="FFC6EFCE"/>
          <bgColor rgb="FFC6EFCE"/>
        </patternFill>
      </fill>
    </dxf>
    <dxf>
      <fill>
        <patternFill patternType="solid">
          <fgColor rgb="FFC6EFCE"/>
          <bgColor rgb="FFC6EFCE"/>
        </patternFill>
      </fill>
    </dxf>
    <dxf>
      <fill>
        <patternFill patternType="solid">
          <fgColor rgb="FFFFC7CE"/>
          <bgColor rgb="FFFFC7CE"/>
        </patternFill>
      </fill>
    </dxf>
    <dxf>
      <fill>
        <patternFill patternType="solid">
          <fgColor rgb="FFFFEB9C"/>
          <bgColor rgb="FFFFEB9C"/>
        </patternFill>
      </fill>
    </dxf>
    <dxf>
      <fill>
        <patternFill patternType="solid">
          <fgColor rgb="FFFFC7CE"/>
          <bgColor rgb="FFFFC7CE"/>
        </patternFill>
      </fill>
    </dxf>
    <dxf>
      <fill>
        <patternFill patternType="solid">
          <fgColor rgb="FFFFEB9C"/>
          <bgColor rgb="FFFFEB9C"/>
        </patternFill>
      </fill>
    </dxf>
    <dxf>
      <fill>
        <patternFill patternType="solid">
          <fgColor rgb="FFC6EFCE"/>
          <bgColor rgb="FFC6EFCE"/>
        </patternFill>
      </fill>
    </dxf>
    <dxf>
      <fill>
        <patternFill patternType="solid">
          <fgColor rgb="FFFFEB9C"/>
          <bgColor rgb="FFFFEB9C"/>
        </patternFill>
      </fill>
    </dxf>
    <dxf>
      <fill>
        <patternFill patternType="solid">
          <fgColor rgb="FFC6EFCE"/>
          <bgColor rgb="FFC6EFCE"/>
        </patternFill>
      </fill>
    </dxf>
    <dxf>
      <fill>
        <patternFill patternType="solid">
          <fgColor rgb="FFFFC7CE"/>
          <bgColor rgb="FFFFC7CE"/>
        </patternFill>
      </fill>
    </dxf>
    <dxf>
      <fill>
        <patternFill patternType="solid">
          <fgColor rgb="FFC6EFCE"/>
          <bgColor rgb="FFC6EFCE"/>
        </patternFill>
      </fill>
    </dxf>
    <dxf>
      <fill>
        <patternFill patternType="solid">
          <fgColor rgb="FFFFEB9C"/>
          <bgColor rgb="FFFFEB9C"/>
        </patternFill>
      </fill>
    </dxf>
    <dxf>
      <fill>
        <patternFill patternType="solid">
          <fgColor rgb="FFFFC7CE"/>
          <bgColor rgb="FFFFC7CE"/>
        </patternFill>
      </fill>
    </dxf>
    <dxf>
      <fill>
        <patternFill patternType="solid">
          <fgColor rgb="FFFFC7CE"/>
          <bgColor rgb="FFFFC7CE"/>
        </patternFill>
      </fill>
    </dxf>
    <dxf>
      <fill>
        <patternFill patternType="solid">
          <fgColor rgb="FFFFEB9C"/>
          <bgColor rgb="FFFFEB9C"/>
        </patternFill>
      </fill>
    </dxf>
    <dxf>
      <fill>
        <patternFill patternType="solid">
          <fgColor rgb="FFC6EFCE"/>
          <bgColor rgb="FFC6EFCE"/>
        </patternFill>
      </fill>
    </dxf>
    <dxf>
      <fill>
        <patternFill patternType="solid">
          <fgColor rgb="FFC6EFCE"/>
          <bgColor rgb="FFC6EFCE"/>
        </patternFill>
      </fill>
    </dxf>
    <dxf>
      <fill>
        <patternFill patternType="solid">
          <fgColor rgb="FFFFC7CE"/>
          <bgColor rgb="FFFFC7CE"/>
        </patternFill>
      </fill>
    </dxf>
    <dxf>
      <fill>
        <patternFill patternType="solid">
          <fgColor rgb="FFFFEB9C"/>
          <bgColor rgb="FFFFEB9C"/>
        </patternFill>
      </fill>
    </dxf>
    <dxf>
      <fill>
        <patternFill patternType="solid">
          <fgColor rgb="FFFFEB9C"/>
          <bgColor rgb="FFFFEB9C"/>
        </patternFill>
      </fill>
    </dxf>
    <dxf>
      <fill>
        <patternFill patternType="solid">
          <fgColor rgb="FFC6EFCE"/>
          <bgColor rgb="FFC6EFCE"/>
        </patternFill>
      </fill>
    </dxf>
    <dxf>
      <fill>
        <patternFill patternType="solid">
          <fgColor rgb="FFFFC7CE"/>
          <bgColor rgb="FFFFC7CE"/>
        </patternFill>
      </fill>
    </dxf>
    <dxf>
      <fill>
        <patternFill patternType="solid">
          <fgColor rgb="FFFFEB9C"/>
          <bgColor rgb="FFFFEB9C"/>
        </patternFill>
      </fill>
    </dxf>
    <dxf>
      <fill>
        <patternFill patternType="solid">
          <fgColor rgb="FFFFC7CE"/>
          <bgColor rgb="FFFFC7CE"/>
        </patternFill>
      </fill>
    </dxf>
    <dxf>
      <fill>
        <patternFill patternType="solid">
          <fgColor rgb="FFC6EFCE"/>
          <bgColor rgb="FFC6EFCE"/>
        </patternFill>
      </fill>
    </dxf>
    <dxf>
      <fill>
        <patternFill patternType="solid">
          <fgColor rgb="FFC6EFCE"/>
          <bgColor rgb="FFC6EFCE"/>
        </patternFill>
      </fill>
    </dxf>
    <dxf>
      <fill>
        <patternFill patternType="solid">
          <fgColor rgb="FFFFEB9C"/>
          <bgColor rgb="FFFFEB9C"/>
        </patternFill>
      </fill>
    </dxf>
    <dxf>
      <fill>
        <patternFill patternType="solid">
          <fgColor rgb="FFFFC7CE"/>
          <bgColor rgb="FFFFC7CE"/>
        </patternFill>
      </fill>
    </dxf>
    <dxf>
      <fill>
        <patternFill patternType="solid">
          <fgColor rgb="FFFFC7CE"/>
          <bgColor rgb="FFFFC7CE"/>
        </patternFill>
      </fill>
    </dxf>
    <dxf>
      <fill>
        <patternFill patternType="solid">
          <fgColor rgb="FFFFEB9C"/>
          <bgColor rgb="FFFFEB9C"/>
        </patternFill>
      </fill>
    </dxf>
    <dxf>
      <fill>
        <patternFill patternType="solid">
          <fgColor rgb="FFC6EFCE"/>
          <bgColor rgb="FFC6EFCE"/>
        </patternFill>
      </fill>
    </dxf>
    <dxf>
      <fill>
        <patternFill patternType="solid">
          <fgColor rgb="FFC6EFCE"/>
          <bgColor rgb="FFC6EFCE"/>
        </patternFill>
      </fill>
    </dxf>
    <dxf>
      <fill>
        <patternFill patternType="solid">
          <fgColor rgb="FFFFEB9C"/>
          <bgColor rgb="FFFFEB9C"/>
        </patternFill>
      </fill>
    </dxf>
    <dxf>
      <fill>
        <patternFill patternType="solid">
          <fgColor rgb="FFFFC7CE"/>
          <bgColor rgb="FFFFC7CE"/>
        </patternFill>
      </fill>
    </dxf>
    <dxf>
      <fill>
        <patternFill patternType="solid">
          <fgColor rgb="FFFFEB9C"/>
          <bgColor rgb="FFFFEB9C"/>
        </patternFill>
      </fill>
    </dxf>
    <dxf>
      <fill>
        <patternFill patternType="solid">
          <fgColor rgb="FFFFC7CE"/>
          <bgColor rgb="FFFFC7CE"/>
        </patternFill>
      </fill>
    </dxf>
    <dxf>
      <fill>
        <patternFill patternType="solid">
          <fgColor rgb="FFC6EFCE"/>
          <bgColor rgb="FFC6EFCE"/>
        </patternFill>
      </fill>
    </dxf>
    <dxf>
      <fill>
        <patternFill patternType="solid">
          <fgColor rgb="FFC6EFCE"/>
          <bgColor rgb="FFC6EFCE"/>
        </patternFill>
      </fill>
    </dxf>
    <dxf>
      <fill>
        <patternFill patternType="solid">
          <fgColor rgb="FFFFEB9C"/>
          <bgColor rgb="FFFFEB9C"/>
        </patternFill>
      </fill>
    </dxf>
    <dxf>
      <fill>
        <patternFill patternType="solid">
          <fgColor rgb="FFFFC7CE"/>
          <bgColor rgb="FFFFC7CE"/>
        </patternFill>
      </fill>
    </dxf>
    <dxf>
      <fill>
        <patternFill patternType="solid">
          <fgColor rgb="FFFFC7CE"/>
          <bgColor rgb="FFFFC7CE"/>
        </patternFill>
      </fill>
    </dxf>
    <dxf>
      <fill>
        <patternFill patternType="solid">
          <fgColor rgb="FFFFEB9C"/>
          <bgColor rgb="FFFFEB9C"/>
        </patternFill>
      </fill>
    </dxf>
    <dxf>
      <fill>
        <patternFill patternType="solid">
          <fgColor rgb="FFC6EFCE"/>
          <bgColor rgb="FFC6EFCE"/>
        </patternFill>
      </fill>
    </dxf>
    <dxf>
      <fill>
        <patternFill patternType="solid">
          <fgColor rgb="FFC6EFCE"/>
          <bgColor rgb="FFC6EFCE"/>
        </patternFill>
      </fill>
    </dxf>
    <dxf>
      <fill>
        <patternFill patternType="solid">
          <fgColor rgb="FFFFEB9C"/>
          <bgColor rgb="FFFFEB9C"/>
        </patternFill>
      </fill>
    </dxf>
    <dxf>
      <fill>
        <patternFill patternType="solid">
          <fgColor rgb="FFFFC7CE"/>
          <bgColor rgb="FFFFC7CE"/>
        </patternFill>
      </fill>
    </dxf>
    <dxf>
      <fill>
        <patternFill patternType="solid">
          <fgColor rgb="FFFFC7CE"/>
          <bgColor rgb="FFFFC7CE"/>
        </patternFill>
      </fill>
    </dxf>
    <dxf>
      <fill>
        <patternFill patternType="solid">
          <fgColor rgb="FFC6EFCE"/>
          <bgColor rgb="FFC6EFCE"/>
        </patternFill>
      </fill>
    </dxf>
    <dxf>
      <fill>
        <patternFill patternType="solid">
          <fgColor rgb="FFFFEB9C"/>
          <bgColor rgb="FFFFEB9C"/>
        </patternFill>
      </fill>
    </dxf>
    <dxf>
      <fill>
        <patternFill patternType="solid">
          <fgColor rgb="FFC6EFCE"/>
          <bgColor rgb="FFC6EFCE"/>
        </patternFill>
      </fill>
    </dxf>
    <dxf>
      <fill>
        <patternFill patternType="solid">
          <fgColor rgb="FFFFC7CE"/>
          <bgColor rgb="FFFFC7CE"/>
        </patternFill>
      </fill>
    </dxf>
    <dxf>
      <fill>
        <patternFill patternType="solid">
          <fgColor rgb="FFFFEB9C"/>
          <bgColor rgb="FFFFEB9C"/>
        </patternFill>
      </fill>
    </dxf>
    <dxf>
      <fill>
        <patternFill patternType="solid">
          <fgColor rgb="FFFFC7CE"/>
          <bgColor rgb="FFFFC7CE"/>
        </patternFill>
      </fill>
    </dxf>
    <dxf>
      <fill>
        <patternFill patternType="solid">
          <fgColor rgb="FFFFEB9C"/>
          <bgColor rgb="FFFFEB9C"/>
        </patternFill>
      </fill>
    </dxf>
    <dxf>
      <fill>
        <patternFill patternType="solid">
          <fgColor rgb="FFC6EFCE"/>
          <bgColor rgb="FFC6EFCE"/>
        </patternFill>
      </fill>
    </dxf>
    <dxf>
      <fill>
        <patternFill patternType="solid">
          <fgColor rgb="FFC6EFCE"/>
          <bgColor rgb="FFC6EFCE"/>
        </patternFill>
      </fill>
    </dxf>
    <dxf>
      <fill>
        <patternFill patternType="solid">
          <fgColor rgb="FFFFEB9C"/>
          <bgColor rgb="FFFFEB9C"/>
        </patternFill>
      </fill>
    </dxf>
    <dxf>
      <fill>
        <patternFill patternType="solid">
          <fgColor rgb="FFFFC7CE"/>
          <bgColor rgb="FFFFC7CE"/>
        </patternFill>
      </fill>
    </dxf>
    <dxf>
      <fill>
        <patternFill patternType="solid">
          <fgColor rgb="FFC6EFCE"/>
          <bgColor rgb="FFC6EFCE"/>
        </patternFill>
      </fill>
    </dxf>
    <dxf>
      <fill>
        <patternFill patternType="solid">
          <fgColor rgb="FFFFC7CE"/>
          <bgColor rgb="FFFFC7CE"/>
        </patternFill>
      </fill>
    </dxf>
    <dxf>
      <fill>
        <patternFill patternType="solid">
          <fgColor rgb="FFFFEB9C"/>
          <bgColor rgb="FFFFEB9C"/>
        </patternFill>
      </fill>
    </dxf>
    <dxf>
      <fill>
        <patternFill patternType="solid">
          <fgColor rgb="FFFFEB9C"/>
          <bgColor rgb="FFFFEB9C"/>
        </patternFill>
      </fill>
    </dxf>
    <dxf>
      <fill>
        <patternFill patternType="solid">
          <fgColor rgb="FFC6EFCE"/>
          <bgColor rgb="FFC6EFCE"/>
        </patternFill>
      </fill>
    </dxf>
    <dxf>
      <fill>
        <patternFill patternType="solid">
          <fgColor rgb="FFFFC7CE"/>
          <bgColor rgb="FFFFC7CE"/>
        </patternFill>
      </fill>
    </dxf>
    <dxf>
      <fill>
        <patternFill patternType="solid">
          <fgColor rgb="FFFFC7CE"/>
          <bgColor rgb="FFFFC7CE"/>
        </patternFill>
      </fill>
    </dxf>
    <dxf>
      <fill>
        <patternFill patternType="solid">
          <fgColor rgb="FFC6EFCE"/>
          <bgColor rgb="FFC6EFCE"/>
        </patternFill>
      </fill>
    </dxf>
    <dxf>
      <fill>
        <patternFill patternType="solid">
          <fgColor rgb="FFFFEB9C"/>
          <bgColor rgb="FFFFEB9C"/>
        </patternFill>
      </fill>
    </dxf>
    <dxf>
      <fill>
        <patternFill patternType="solid">
          <fgColor rgb="FFFFEB9C"/>
          <bgColor rgb="FFFFEB9C"/>
        </patternFill>
      </fill>
    </dxf>
    <dxf>
      <fill>
        <patternFill patternType="solid">
          <fgColor rgb="FFFFC7CE"/>
          <bgColor rgb="FFFFC7CE"/>
        </patternFill>
      </fill>
    </dxf>
    <dxf>
      <fill>
        <patternFill patternType="solid">
          <fgColor rgb="FFC6EFCE"/>
          <bgColor rgb="FFC6EFCE"/>
        </patternFill>
      </fill>
    </dxf>
    <dxf>
      <fill>
        <patternFill patternType="solid">
          <fgColor rgb="FFFFEB9C"/>
          <bgColor rgb="FFFFEB9C"/>
        </patternFill>
      </fill>
    </dxf>
    <dxf>
      <fill>
        <patternFill patternType="solid">
          <fgColor rgb="FFFFC7CE"/>
          <bgColor rgb="FFFFC7CE"/>
        </patternFill>
      </fill>
    </dxf>
    <dxf>
      <fill>
        <patternFill patternType="solid">
          <fgColor rgb="FFC6EFCE"/>
          <bgColor rgb="FFC6EFCE"/>
        </patternFill>
      </fill>
    </dxf>
    <dxf>
      <fill>
        <patternFill patternType="solid">
          <fgColor rgb="FFC6EFCE"/>
          <bgColor rgb="FFC6EFCE"/>
        </patternFill>
      </fill>
    </dxf>
    <dxf>
      <fill>
        <patternFill patternType="solid">
          <fgColor rgb="FFFFEB9C"/>
          <bgColor rgb="FFFFEB9C"/>
        </patternFill>
      </fill>
    </dxf>
    <dxf>
      <fill>
        <patternFill patternType="solid">
          <fgColor rgb="FFFFC7CE"/>
          <bgColor rgb="FFFFC7CE"/>
        </patternFill>
      </fill>
    </dxf>
    <dxf>
      <fill>
        <patternFill patternType="solid">
          <fgColor rgb="FFC6EFCE"/>
          <bgColor rgb="FFC6EFCE"/>
        </patternFill>
      </fill>
    </dxf>
    <dxf>
      <fill>
        <patternFill patternType="solid">
          <fgColor rgb="FFFFC7CE"/>
          <bgColor rgb="FFFFC7CE"/>
        </patternFill>
      </fill>
    </dxf>
    <dxf>
      <fill>
        <patternFill patternType="solid">
          <fgColor rgb="FFFFEB9C"/>
          <bgColor rgb="FFFFEB9C"/>
        </patternFill>
      </fill>
    </dxf>
    <dxf>
      <fill>
        <patternFill patternType="solid">
          <fgColor rgb="FFC6EFCE"/>
          <bgColor rgb="FFC6EFCE"/>
        </patternFill>
      </fill>
    </dxf>
    <dxf>
      <fill>
        <patternFill patternType="solid">
          <fgColor rgb="FFFFEB9C"/>
          <bgColor rgb="FFFFEB9C"/>
        </patternFill>
      </fill>
    </dxf>
    <dxf>
      <fill>
        <patternFill patternType="solid">
          <fgColor rgb="FFFFC7CE"/>
          <bgColor rgb="FFFFC7CE"/>
        </patternFill>
      </fill>
    </dxf>
    <dxf>
      <fill>
        <patternFill patternType="solid">
          <fgColor rgb="FFC6EFCE"/>
          <bgColor rgb="FFC6EFCE"/>
        </patternFill>
      </fill>
    </dxf>
    <dxf>
      <fill>
        <patternFill patternType="solid">
          <fgColor rgb="FFFFC7CE"/>
          <bgColor rgb="FFFFC7CE"/>
        </patternFill>
      </fill>
    </dxf>
    <dxf>
      <fill>
        <patternFill patternType="solid">
          <fgColor rgb="FFFFEB9C"/>
          <bgColor rgb="FFFFEB9C"/>
        </patternFill>
      </fill>
    </dxf>
    <dxf>
      <fill>
        <patternFill patternType="solid">
          <fgColor rgb="FFFFC7CE"/>
          <bgColor rgb="FFFFC7CE"/>
        </patternFill>
      </fill>
    </dxf>
    <dxf>
      <fill>
        <patternFill patternType="solid">
          <fgColor rgb="FFFFEB9C"/>
          <bgColor rgb="FFFFEB9C"/>
        </patternFill>
      </fill>
    </dxf>
    <dxf>
      <fill>
        <patternFill patternType="solid">
          <fgColor rgb="FFC6EFCE"/>
          <bgColor rgb="FFC6EFCE"/>
        </patternFill>
      </fill>
    </dxf>
    <dxf>
      <fill>
        <patternFill patternType="solid">
          <fgColor rgb="FFFFEB9C"/>
          <bgColor rgb="FFFFEB9C"/>
        </patternFill>
      </fill>
    </dxf>
    <dxf>
      <fill>
        <patternFill patternType="solid">
          <fgColor rgb="FFC6EFCE"/>
          <bgColor rgb="FFC6EFCE"/>
        </patternFill>
      </fill>
    </dxf>
    <dxf>
      <fill>
        <patternFill patternType="solid">
          <fgColor rgb="FFFFC7CE"/>
          <bgColor rgb="FFFFC7CE"/>
        </patternFill>
      </fill>
    </dxf>
    <dxf>
      <fill>
        <patternFill patternType="solid">
          <fgColor rgb="FFFFC7CE"/>
          <bgColor rgb="FFFFC7CE"/>
        </patternFill>
      </fill>
    </dxf>
    <dxf>
      <fill>
        <patternFill patternType="solid">
          <fgColor rgb="FFFFEB9C"/>
          <bgColor rgb="FFFFEB9C"/>
        </patternFill>
      </fill>
    </dxf>
    <dxf>
      <fill>
        <patternFill patternType="solid">
          <fgColor rgb="FFC6EFCE"/>
          <bgColor rgb="FFC6EFCE"/>
        </patternFill>
      </fill>
    </dxf>
    <dxf>
      <fill>
        <patternFill patternType="solid">
          <fgColor rgb="FFFFC7CE"/>
          <bgColor rgb="FFFFC7CE"/>
        </patternFill>
      </fill>
    </dxf>
    <dxf>
      <fill>
        <patternFill patternType="solid">
          <fgColor rgb="FFFFEB9C"/>
          <bgColor rgb="FFFFEB9C"/>
        </patternFill>
      </fill>
    </dxf>
    <dxf>
      <fill>
        <patternFill patternType="solid">
          <fgColor rgb="FFC6EFCE"/>
          <bgColor rgb="FFC6EFCE"/>
        </patternFill>
      </fill>
    </dxf>
    <dxf>
      <fill>
        <patternFill patternType="solid">
          <fgColor rgb="FFFFC7CE"/>
          <bgColor rgb="FFFFC7CE"/>
        </patternFill>
      </fill>
    </dxf>
    <dxf>
      <fill>
        <patternFill patternType="solid">
          <fgColor rgb="FFFFEB9C"/>
          <bgColor rgb="FFFFEB9C"/>
        </patternFill>
      </fill>
    </dxf>
    <dxf>
      <fill>
        <patternFill patternType="solid">
          <fgColor rgb="FFC6EFCE"/>
          <bgColor rgb="FFC6EFCE"/>
        </patternFill>
      </fill>
    </dxf>
    <dxf>
      <fill>
        <patternFill patternType="solid">
          <fgColor rgb="FFFFC7CE"/>
          <bgColor rgb="FFFFC7CE"/>
        </patternFill>
      </fill>
    </dxf>
    <dxf>
      <fill>
        <patternFill patternType="solid">
          <fgColor rgb="FFFFEB9C"/>
          <bgColor rgb="FFFFEB9C"/>
        </patternFill>
      </fill>
    </dxf>
    <dxf>
      <fill>
        <patternFill patternType="solid">
          <fgColor rgb="FFC6EFCE"/>
          <bgColor rgb="FFC6EFCE"/>
        </patternFill>
      </fill>
    </dxf>
    <dxf>
      <fill>
        <patternFill patternType="solid">
          <fgColor rgb="FFC6EFCE"/>
          <bgColor rgb="FFC6EFCE"/>
        </patternFill>
      </fill>
    </dxf>
    <dxf>
      <fill>
        <patternFill patternType="solid">
          <fgColor rgb="FFFFEB9C"/>
          <bgColor rgb="FFFFEB9C"/>
        </patternFill>
      </fill>
    </dxf>
    <dxf>
      <fill>
        <patternFill patternType="solid">
          <fgColor rgb="FFFFC7CE"/>
          <bgColor rgb="FFFFC7CE"/>
        </patternFill>
      </fill>
    </dxf>
    <dxf>
      <fill>
        <patternFill patternType="solid">
          <fgColor rgb="FFFFC7CE"/>
          <bgColor rgb="FFFFC7CE"/>
        </patternFill>
      </fill>
    </dxf>
    <dxf>
      <fill>
        <patternFill patternType="solid">
          <fgColor rgb="FFFFEB9C"/>
          <bgColor rgb="FFFFEB9C"/>
        </patternFill>
      </fill>
    </dxf>
    <dxf>
      <fill>
        <patternFill patternType="solid">
          <fgColor rgb="FFC6EFCE"/>
          <bgColor rgb="FFC6EFCE"/>
        </patternFill>
      </fill>
    </dxf>
    <dxf>
      <fill>
        <patternFill patternType="solid">
          <fgColor rgb="FFFFC7CE"/>
          <bgColor rgb="FFFFC7CE"/>
        </patternFill>
      </fill>
    </dxf>
    <dxf>
      <fill>
        <patternFill patternType="solid">
          <fgColor rgb="FFFFEB9C"/>
          <bgColor rgb="FFFFEB9C"/>
        </patternFill>
      </fill>
    </dxf>
    <dxf>
      <fill>
        <patternFill patternType="solid">
          <fgColor rgb="FFC6EFCE"/>
          <bgColor rgb="FFC6EFCE"/>
        </patternFill>
      </fill>
    </dxf>
    <dxf>
      <fill>
        <patternFill patternType="solid">
          <fgColor rgb="FFFFC7CE"/>
          <bgColor rgb="FFFFC7CE"/>
        </patternFill>
      </fill>
    </dxf>
    <dxf>
      <fill>
        <patternFill patternType="solid">
          <fgColor rgb="FFFFEB9C"/>
          <bgColor rgb="FFFFEB9C"/>
        </patternFill>
      </fill>
    </dxf>
    <dxf>
      <fill>
        <patternFill patternType="solid">
          <fgColor rgb="FFC6EFCE"/>
          <bgColor rgb="FFC6EFCE"/>
        </patternFill>
      </fill>
    </dxf>
    <dxf>
      <fill>
        <patternFill patternType="solid">
          <fgColor rgb="FFFFC7CE"/>
          <bgColor rgb="FFFFC7CE"/>
        </patternFill>
      </fill>
    </dxf>
    <dxf>
      <fill>
        <patternFill patternType="solid">
          <fgColor rgb="FFFFEB9C"/>
          <bgColor rgb="FFFFEB9C"/>
        </patternFill>
      </fill>
    </dxf>
    <dxf>
      <fill>
        <patternFill patternType="solid">
          <fgColor rgb="FFC6EFCE"/>
          <bgColor rgb="FFC6EFCE"/>
        </patternFill>
      </fill>
    </dxf>
    <dxf>
      <fill>
        <patternFill patternType="solid">
          <fgColor rgb="FFFFC7CE"/>
          <bgColor rgb="FFFFC7CE"/>
        </patternFill>
      </fill>
    </dxf>
    <dxf>
      <fill>
        <patternFill patternType="solid">
          <fgColor rgb="FFC6EFCE"/>
          <bgColor rgb="FFC6EFCE"/>
        </patternFill>
      </fill>
    </dxf>
    <dxf>
      <fill>
        <patternFill patternType="solid">
          <fgColor rgb="FFFFEB9C"/>
          <bgColor rgb="FFFFEB9C"/>
        </patternFill>
      </fill>
    </dxf>
    <dxf>
      <fill>
        <patternFill patternType="solid">
          <fgColor rgb="FFC6EFCE"/>
          <bgColor rgb="FFC6EFCE"/>
        </patternFill>
      </fill>
    </dxf>
    <dxf>
      <fill>
        <patternFill patternType="solid">
          <fgColor rgb="FFFFEB9C"/>
          <bgColor rgb="FFFFEB9C"/>
        </patternFill>
      </fill>
    </dxf>
    <dxf>
      <fill>
        <patternFill patternType="solid">
          <fgColor rgb="FFFFC7CE"/>
          <bgColor rgb="FFFFC7CE"/>
        </patternFill>
      </fill>
    </dxf>
    <dxf>
      <fill>
        <patternFill patternType="solid">
          <fgColor rgb="FFC6EFCE"/>
          <bgColor rgb="FFC6EFCE"/>
        </patternFill>
      </fill>
    </dxf>
    <dxf>
      <fill>
        <patternFill patternType="solid">
          <fgColor rgb="FFFFC7CE"/>
          <bgColor rgb="FFFFC7CE"/>
        </patternFill>
      </fill>
    </dxf>
    <dxf>
      <fill>
        <patternFill patternType="solid">
          <fgColor rgb="FFFFEB9C"/>
          <bgColor rgb="FFFFEB9C"/>
        </patternFill>
      </fill>
    </dxf>
    <dxf>
      <fill>
        <patternFill patternType="solid">
          <fgColor rgb="FFC6EFCE"/>
          <bgColor rgb="FFC6EFCE"/>
        </patternFill>
      </fill>
    </dxf>
    <dxf>
      <fill>
        <patternFill patternType="solid">
          <fgColor rgb="FFFFEB9C"/>
          <bgColor rgb="FFFFEB9C"/>
        </patternFill>
      </fill>
    </dxf>
    <dxf>
      <fill>
        <patternFill patternType="solid">
          <fgColor rgb="FFFFC7CE"/>
          <bgColor rgb="FFFFC7CE"/>
        </patternFill>
      </fill>
    </dxf>
    <dxf>
      <fill>
        <patternFill patternType="solid">
          <fgColor rgb="FFC6EFCE"/>
          <bgColor rgb="FFC6EFCE"/>
        </patternFill>
      </fill>
    </dxf>
    <dxf>
      <fill>
        <patternFill patternType="solid">
          <fgColor rgb="FFFFEB9C"/>
          <bgColor rgb="FFFFEB9C"/>
        </patternFill>
      </fill>
    </dxf>
    <dxf>
      <fill>
        <patternFill patternType="solid">
          <fgColor rgb="FFFFC7CE"/>
          <bgColor rgb="FFFFC7CE"/>
        </patternFill>
      </fill>
    </dxf>
    <dxf>
      <fill>
        <patternFill patternType="solid">
          <fgColor rgb="FFFFC7CE"/>
          <bgColor rgb="FFFFC7CE"/>
        </patternFill>
      </fill>
    </dxf>
    <dxf>
      <fill>
        <patternFill patternType="solid">
          <fgColor rgb="FFFFEB9C"/>
          <bgColor rgb="FFFFEB9C"/>
        </patternFill>
      </fill>
    </dxf>
    <dxf>
      <fill>
        <patternFill patternType="solid">
          <fgColor rgb="FFC6EFCE"/>
          <bgColor rgb="FFC6EFCE"/>
        </patternFill>
      </fill>
    </dxf>
    <dxf>
      <fill>
        <patternFill patternType="solid">
          <fgColor rgb="FFFFC7CE"/>
          <bgColor rgb="FFFFC7CE"/>
        </patternFill>
      </fill>
    </dxf>
    <dxf>
      <fill>
        <patternFill patternType="solid">
          <fgColor rgb="FFFFEB9C"/>
          <bgColor rgb="FFFFEB9C"/>
        </patternFill>
      </fill>
    </dxf>
    <dxf>
      <fill>
        <patternFill patternType="solid">
          <fgColor rgb="FFC6EFCE"/>
          <bgColor rgb="FFC6EFCE"/>
        </patternFill>
      </fill>
    </dxf>
    <dxf>
      <fill>
        <patternFill patternType="solid">
          <fgColor rgb="FFFFC7CE"/>
          <bgColor rgb="FFFFC7CE"/>
        </patternFill>
      </fill>
    </dxf>
    <dxf>
      <fill>
        <patternFill patternType="solid">
          <fgColor rgb="FFFFEB9C"/>
          <bgColor rgb="FFFFEB9C"/>
        </patternFill>
      </fill>
    </dxf>
    <dxf>
      <fill>
        <patternFill patternType="solid">
          <fgColor rgb="FFC6EFCE"/>
          <bgColor rgb="FFC6EFCE"/>
        </patternFill>
      </fill>
    </dxf>
    <dxf>
      <fill>
        <patternFill patternType="solid">
          <fgColor rgb="FFFFC7CE"/>
          <bgColor rgb="FFFFC7CE"/>
        </patternFill>
      </fill>
    </dxf>
    <dxf>
      <fill>
        <patternFill patternType="solid">
          <fgColor rgb="FFC6EFCE"/>
          <bgColor rgb="FFC6EFCE"/>
        </patternFill>
      </fill>
    </dxf>
    <dxf>
      <fill>
        <patternFill patternType="solid">
          <fgColor rgb="FFFFEB9C"/>
          <bgColor rgb="FFFFEB9C"/>
        </patternFill>
      </fill>
    </dxf>
    <dxf>
      <fill>
        <patternFill patternType="solid">
          <fgColor rgb="FFC6EFCE"/>
          <bgColor rgb="FFC6EFCE"/>
        </patternFill>
      </fill>
    </dxf>
    <dxf>
      <fill>
        <patternFill patternType="solid">
          <fgColor rgb="FFFFEB9C"/>
          <bgColor rgb="FFFFEB9C"/>
        </patternFill>
      </fill>
    </dxf>
    <dxf>
      <fill>
        <patternFill patternType="solid">
          <fgColor rgb="FFFFC7CE"/>
          <bgColor rgb="FFFFC7CE"/>
        </patternFill>
      </fill>
    </dxf>
    <dxf>
      <fill>
        <patternFill patternType="solid">
          <fgColor rgb="FFFFC7CE"/>
          <bgColor rgb="FFFFC7CE"/>
        </patternFill>
      </fill>
    </dxf>
    <dxf>
      <fill>
        <patternFill patternType="solid">
          <fgColor rgb="FFFFEB9C"/>
          <bgColor rgb="FFFFEB9C"/>
        </patternFill>
      </fill>
    </dxf>
    <dxf>
      <fill>
        <patternFill patternType="solid">
          <fgColor rgb="FFC6EFCE"/>
          <bgColor rgb="FFC6EFCE"/>
        </patternFill>
      </fill>
    </dxf>
    <dxf>
      <fill>
        <patternFill patternType="solid">
          <fgColor rgb="FFFFC7CE"/>
          <bgColor rgb="FFFFC7CE"/>
        </patternFill>
      </fill>
    </dxf>
    <dxf>
      <fill>
        <patternFill patternType="solid">
          <fgColor rgb="FFFFEB9C"/>
          <bgColor rgb="FFFFEB9C"/>
        </patternFill>
      </fill>
    </dxf>
    <dxf>
      <fill>
        <patternFill patternType="solid">
          <fgColor rgb="FFC6EFCE"/>
          <bgColor rgb="FFC6EFCE"/>
        </patternFill>
      </fill>
    </dxf>
    <dxf>
      <fill>
        <patternFill patternType="solid">
          <fgColor rgb="FFFFEB9C"/>
          <bgColor rgb="FFFFEB9C"/>
        </patternFill>
      </fill>
    </dxf>
    <dxf>
      <fill>
        <patternFill patternType="solid">
          <fgColor rgb="FFC6EFCE"/>
          <bgColor rgb="FFC6EFCE"/>
        </patternFill>
      </fill>
    </dxf>
    <dxf>
      <fill>
        <patternFill patternType="solid">
          <fgColor rgb="FFFFC7CE"/>
          <bgColor rgb="FFFFC7CE"/>
        </patternFill>
      </fill>
    </dxf>
    <dxf>
      <fill>
        <patternFill patternType="solid">
          <fgColor rgb="FFFFC7CE"/>
          <bgColor rgb="FFFFC7CE"/>
        </patternFill>
      </fill>
    </dxf>
    <dxf>
      <fill>
        <patternFill patternType="solid">
          <fgColor rgb="FFFFEB9C"/>
          <bgColor rgb="FFFFEB9C"/>
        </patternFill>
      </fill>
    </dxf>
    <dxf>
      <fill>
        <patternFill patternType="solid">
          <fgColor rgb="FFC6EFCE"/>
          <bgColor rgb="FFC6EFCE"/>
        </patternFill>
      </fill>
    </dxf>
    <dxf>
      <fill>
        <patternFill patternType="solid">
          <fgColor rgb="FFFFC7CE"/>
          <bgColor rgb="FFFFC7CE"/>
        </patternFill>
      </fill>
    </dxf>
    <dxf>
      <fill>
        <patternFill patternType="solid">
          <fgColor rgb="FFFFEB9C"/>
          <bgColor rgb="FFFFEB9C"/>
        </patternFill>
      </fill>
    </dxf>
    <dxf>
      <fill>
        <patternFill patternType="solid">
          <fgColor rgb="FFC6EFCE"/>
          <bgColor rgb="FFC6EFCE"/>
        </patternFill>
      </fill>
    </dxf>
    <dxf>
      <fill>
        <patternFill patternType="solid">
          <fgColor rgb="FFC6EFCE"/>
          <bgColor rgb="FFC6EFCE"/>
        </patternFill>
      </fill>
    </dxf>
    <dxf>
      <fill>
        <patternFill patternType="solid">
          <fgColor rgb="FFFFEB9C"/>
          <bgColor rgb="FFFFEB9C"/>
        </patternFill>
      </fill>
    </dxf>
    <dxf>
      <fill>
        <patternFill patternType="solid">
          <fgColor rgb="FFFFC7CE"/>
          <bgColor rgb="FFFFC7CE"/>
        </patternFill>
      </fill>
    </dxf>
    <dxf>
      <fill>
        <patternFill patternType="solid">
          <fgColor rgb="FFFFC7CE"/>
          <bgColor rgb="FFFFC7CE"/>
        </patternFill>
      </fill>
    </dxf>
    <dxf>
      <fill>
        <patternFill patternType="solid">
          <fgColor rgb="FFC6EFCE"/>
          <bgColor rgb="FFC6EFCE"/>
        </patternFill>
      </fill>
    </dxf>
    <dxf>
      <fill>
        <patternFill patternType="solid">
          <fgColor rgb="FFFFEB9C"/>
          <bgColor rgb="FFFFEB9C"/>
        </patternFill>
      </fill>
    </dxf>
    <dxf>
      <fill>
        <patternFill patternType="solid">
          <fgColor rgb="FFFFC7CE"/>
          <bgColor rgb="FFFFC7CE"/>
        </patternFill>
      </fill>
    </dxf>
    <dxf>
      <fill>
        <patternFill patternType="solid">
          <fgColor rgb="FFFFEB9C"/>
          <bgColor rgb="FFFFEB9C"/>
        </patternFill>
      </fill>
    </dxf>
    <dxf>
      <fill>
        <patternFill patternType="solid">
          <fgColor rgb="FFC6EFCE"/>
          <bgColor rgb="FFC6EFCE"/>
        </patternFill>
      </fill>
    </dxf>
    <dxf>
      <fill>
        <patternFill patternType="solid">
          <fgColor rgb="FFC6EFCE"/>
          <bgColor rgb="FFC6EFCE"/>
        </patternFill>
      </fill>
    </dxf>
    <dxf>
      <fill>
        <patternFill patternType="solid">
          <fgColor rgb="FFFFC7CE"/>
          <bgColor rgb="FFFFC7CE"/>
        </patternFill>
      </fill>
    </dxf>
    <dxf>
      <fill>
        <patternFill patternType="solid">
          <fgColor rgb="FFFFEB9C"/>
          <bgColor rgb="FFFFEB9C"/>
        </patternFill>
      </fill>
    </dxf>
    <dxf>
      <fill>
        <patternFill patternType="solid">
          <fgColor rgb="FFFFEB9C"/>
          <bgColor rgb="FFFFEB9C"/>
        </patternFill>
      </fill>
    </dxf>
    <dxf>
      <fill>
        <patternFill patternType="solid">
          <fgColor rgb="FFC6EFCE"/>
          <bgColor rgb="FFC6EFCE"/>
        </patternFill>
      </fill>
    </dxf>
    <dxf>
      <fill>
        <patternFill patternType="solid">
          <fgColor rgb="FFFFC7CE"/>
          <bgColor rgb="FFFFC7CE"/>
        </patternFill>
      </fill>
    </dxf>
    <dxf>
      <fill>
        <patternFill patternType="solid">
          <fgColor rgb="FFC6EFCE"/>
          <bgColor rgb="FFC6EFCE"/>
        </patternFill>
      </fill>
    </dxf>
    <dxf>
      <fill>
        <patternFill patternType="solid">
          <fgColor rgb="FFFFC7CE"/>
          <bgColor rgb="FFFFC7CE"/>
        </patternFill>
      </fill>
    </dxf>
    <dxf>
      <fill>
        <patternFill patternType="solid">
          <fgColor rgb="FFFFEB9C"/>
          <bgColor rgb="FFFFEB9C"/>
        </patternFill>
      </fill>
    </dxf>
    <dxf>
      <fill>
        <patternFill patternType="solid">
          <fgColor rgb="FFFFC7CE"/>
          <bgColor rgb="FFFFC7CE"/>
        </patternFill>
      </fill>
    </dxf>
    <dxf>
      <fill>
        <patternFill patternType="solid">
          <fgColor rgb="FFFFEB9C"/>
          <bgColor rgb="FFFFEB9C"/>
        </patternFill>
      </fill>
    </dxf>
    <dxf>
      <fill>
        <patternFill patternType="solid">
          <fgColor rgb="FFC6EFCE"/>
          <bgColor rgb="FFC6EFCE"/>
        </patternFill>
      </fill>
    </dxf>
    <dxf>
      <fill>
        <patternFill patternType="solid">
          <fgColor rgb="FFFFEB9C"/>
          <bgColor rgb="FFFFEB9C"/>
        </patternFill>
      </fill>
    </dxf>
    <dxf>
      <fill>
        <patternFill patternType="solid">
          <fgColor rgb="FFC6EFCE"/>
          <bgColor rgb="FFC6EFCE"/>
        </patternFill>
      </fill>
    </dxf>
    <dxf>
      <fill>
        <patternFill patternType="solid">
          <fgColor rgb="FFFFC7CE"/>
          <bgColor rgb="FFFFC7CE"/>
        </patternFill>
      </fill>
    </dxf>
    <dxf>
      <fill>
        <patternFill patternType="solid">
          <fgColor rgb="FFFFC7CE"/>
          <bgColor rgb="FFFFC7CE"/>
        </patternFill>
      </fill>
    </dxf>
    <dxf>
      <fill>
        <patternFill patternType="solid">
          <fgColor rgb="FFFFEB9C"/>
          <bgColor rgb="FFFFEB9C"/>
        </patternFill>
      </fill>
    </dxf>
    <dxf>
      <fill>
        <patternFill patternType="solid">
          <fgColor rgb="FFC6EFCE"/>
          <bgColor rgb="FFC6EFCE"/>
        </patternFill>
      </fill>
    </dxf>
    <dxf>
      <fill>
        <patternFill patternType="solid">
          <fgColor rgb="FFFFC7CE"/>
          <bgColor rgb="FFFFC7CE"/>
        </patternFill>
      </fill>
    </dxf>
    <dxf>
      <fill>
        <patternFill patternType="solid">
          <fgColor rgb="FFFFEB9C"/>
          <bgColor rgb="FFFFEB9C"/>
        </patternFill>
      </fill>
    </dxf>
    <dxf>
      <fill>
        <patternFill patternType="solid">
          <fgColor rgb="FFC6EFCE"/>
          <bgColor rgb="FFC6EFCE"/>
        </patternFill>
      </fill>
    </dxf>
    <dxf>
      <fill>
        <patternFill patternType="solid">
          <fgColor rgb="FFFFC7CE"/>
          <bgColor rgb="FFFFC7CE"/>
        </patternFill>
      </fill>
    </dxf>
    <dxf>
      <fill>
        <patternFill patternType="solid">
          <fgColor rgb="FFFFEB9C"/>
          <bgColor rgb="FFFFEB9C"/>
        </patternFill>
      </fill>
    </dxf>
    <dxf>
      <fill>
        <patternFill patternType="solid">
          <fgColor rgb="FFC6EFCE"/>
          <bgColor rgb="FFC6EFCE"/>
        </patternFill>
      </fill>
    </dxf>
    <dxf>
      <fill>
        <patternFill patternType="solid">
          <fgColor rgb="FFFFC7CE"/>
          <bgColor rgb="FFFFC7CE"/>
        </patternFill>
      </fill>
    </dxf>
    <dxf>
      <fill>
        <patternFill patternType="solid">
          <fgColor rgb="FFFFEB9C"/>
          <bgColor rgb="FFFFEB9C"/>
        </patternFill>
      </fill>
    </dxf>
    <dxf>
      <fill>
        <patternFill patternType="solid">
          <fgColor rgb="FFC6EFCE"/>
          <bgColor rgb="FFC6EFCE"/>
        </patternFill>
      </fill>
    </dxf>
    <dxf>
      <fill>
        <patternFill patternType="solid">
          <fgColor rgb="FFFFC7CE"/>
          <bgColor rgb="FFFFC7CE"/>
        </patternFill>
      </fill>
    </dxf>
    <dxf>
      <fill>
        <patternFill patternType="solid">
          <fgColor rgb="FFFFEB9C"/>
          <bgColor rgb="FFFFEB9C"/>
        </patternFill>
      </fill>
    </dxf>
    <dxf>
      <fill>
        <patternFill patternType="solid">
          <fgColor rgb="FFC6EFCE"/>
          <bgColor rgb="FFC6EFCE"/>
        </patternFill>
      </fill>
    </dxf>
    <dxf>
      <fill>
        <patternFill patternType="solid">
          <fgColor rgb="FFFFC7CE"/>
          <bgColor rgb="FFFFC7CE"/>
        </patternFill>
      </fill>
    </dxf>
    <dxf>
      <fill>
        <patternFill patternType="solid">
          <fgColor rgb="FFFFEB9C"/>
          <bgColor rgb="FFFFEB9C"/>
        </patternFill>
      </fill>
    </dxf>
    <dxf>
      <fill>
        <patternFill patternType="solid">
          <fgColor rgb="FFC6EFCE"/>
          <bgColor rgb="FFC6EFCE"/>
        </patternFill>
      </fill>
    </dxf>
    <dxf>
      <fill>
        <patternFill patternType="solid">
          <fgColor rgb="FFFFC7CE"/>
          <bgColor rgb="FFFFC7CE"/>
        </patternFill>
      </fill>
    </dxf>
    <dxf>
      <fill>
        <patternFill patternType="solid">
          <fgColor rgb="FFFFEB9C"/>
          <bgColor rgb="FFFFEB9C"/>
        </patternFill>
      </fill>
    </dxf>
    <dxf>
      <fill>
        <patternFill patternType="solid">
          <fgColor rgb="FFC6EFCE"/>
          <bgColor rgb="FFC6EFCE"/>
        </patternFill>
      </fill>
    </dxf>
    <dxf>
      <fill>
        <patternFill patternType="solid">
          <fgColor rgb="FFFFC7CE"/>
          <bgColor rgb="FFFFC7CE"/>
        </patternFill>
      </fill>
    </dxf>
    <dxf>
      <fill>
        <patternFill patternType="solid">
          <fgColor rgb="FFFFEB9C"/>
          <bgColor rgb="FFFFEB9C"/>
        </patternFill>
      </fill>
    </dxf>
    <dxf>
      <fill>
        <patternFill patternType="solid">
          <fgColor rgb="FFC6EFCE"/>
          <bgColor rgb="FFC6EFCE"/>
        </patternFill>
      </fill>
    </dxf>
    <dxf>
      <fill>
        <patternFill patternType="solid">
          <fgColor rgb="FFFFC7CE"/>
          <bgColor rgb="FFFFC7CE"/>
        </patternFill>
      </fill>
    </dxf>
    <dxf>
      <fill>
        <patternFill patternType="solid">
          <fgColor rgb="FFFFEB9C"/>
          <bgColor rgb="FFFFEB9C"/>
        </patternFill>
      </fill>
    </dxf>
    <dxf>
      <fill>
        <patternFill patternType="solid">
          <fgColor rgb="FFC6EFCE"/>
          <bgColor rgb="FFC6EFCE"/>
        </patternFill>
      </fill>
    </dxf>
    <dxf>
      <fill>
        <patternFill patternType="solid">
          <fgColor rgb="FFFFC7CE"/>
          <bgColor rgb="FFFFC7CE"/>
        </patternFill>
      </fill>
    </dxf>
    <dxf>
      <fill>
        <patternFill patternType="solid">
          <fgColor rgb="FFFFEB9C"/>
          <bgColor rgb="FFFFEB9C"/>
        </patternFill>
      </fill>
    </dxf>
    <dxf>
      <fill>
        <patternFill patternType="solid">
          <fgColor rgb="FFC6EFCE"/>
          <bgColor rgb="FFC6EFCE"/>
        </patternFill>
      </fill>
    </dxf>
    <dxf>
      <fill>
        <patternFill patternType="solid">
          <fgColor rgb="FFFFC7CE"/>
          <bgColor rgb="FFFFC7CE"/>
        </patternFill>
      </fill>
    </dxf>
    <dxf>
      <fill>
        <patternFill patternType="solid">
          <fgColor rgb="FFFFEB9C"/>
          <bgColor rgb="FFFFEB9C"/>
        </patternFill>
      </fill>
    </dxf>
    <dxf>
      <fill>
        <patternFill patternType="solid">
          <fgColor rgb="FFC6EFCE"/>
          <bgColor rgb="FFC6EFCE"/>
        </patternFill>
      </fill>
    </dxf>
    <dxf>
      <fill>
        <patternFill patternType="solid">
          <fgColor rgb="FFFFC7CE"/>
          <bgColor rgb="FFFFC7CE"/>
        </patternFill>
      </fill>
    </dxf>
    <dxf>
      <fill>
        <patternFill patternType="solid">
          <fgColor rgb="FFFFEB9C"/>
          <bgColor rgb="FFFFEB9C"/>
        </patternFill>
      </fill>
    </dxf>
    <dxf>
      <fill>
        <patternFill patternType="solid">
          <fgColor rgb="FFC6EFCE"/>
          <bgColor rgb="FFC6EFCE"/>
        </patternFill>
      </fill>
    </dxf>
    <dxf>
      <fill>
        <patternFill patternType="solid">
          <fgColor rgb="FFFFC7CE"/>
          <bgColor rgb="FFFFC7CE"/>
        </patternFill>
      </fill>
    </dxf>
    <dxf>
      <fill>
        <patternFill patternType="solid">
          <fgColor rgb="FFFFEB9C"/>
          <bgColor rgb="FFFFEB9C"/>
        </patternFill>
      </fill>
    </dxf>
    <dxf>
      <fill>
        <patternFill patternType="solid">
          <fgColor rgb="FFC6EFCE"/>
          <bgColor rgb="FFC6EFCE"/>
        </patternFill>
      </fill>
    </dxf>
    <dxf>
      <fill>
        <patternFill patternType="solid">
          <fgColor rgb="FFFFC7CE"/>
          <bgColor rgb="FFFFC7CE"/>
        </patternFill>
      </fill>
    </dxf>
    <dxf>
      <fill>
        <patternFill patternType="solid">
          <fgColor rgb="FFFFEB9C"/>
          <bgColor rgb="FFFFEB9C"/>
        </patternFill>
      </fill>
    </dxf>
    <dxf>
      <fill>
        <patternFill patternType="solid">
          <fgColor rgb="FFC6EFCE"/>
          <bgColor rgb="FFC6EFCE"/>
        </patternFill>
      </fill>
    </dxf>
    <dxf>
      <fill>
        <patternFill patternType="solid">
          <fgColor rgb="FFFFC7CE"/>
          <bgColor rgb="FFFFC7CE"/>
        </patternFill>
      </fill>
    </dxf>
    <dxf>
      <fill>
        <patternFill patternType="solid">
          <fgColor rgb="FFFFEB9C"/>
          <bgColor rgb="FFFFEB9C"/>
        </patternFill>
      </fill>
    </dxf>
    <dxf>
      <fill>
        <patternFill patternType="solid">
          <fgColor rgb="FFC6EFCE"/>
          <bgColor rgb="FFC6EFCE"/>
        </patternFill>
      </fill>
    </dxf>
    <dxf>
      <fill>
        <patternFill patternType="solid">
          <fgColor rgb="FFFFC7CE"/>
          <bgColor rgb="FFFFC7CE"/>
        </patternFill>
      </fill>
    </dxf>
    <dxf>
      <fill>
        <patternFill patternType="solid">
          <fgColor rgb="FFFFEB9C"/>
          <bgColor rgb="FFFFEB9C"/>
        </patternFill>
      </fill>
    </dxf>
    <dxf>
      <fill>
        <patternFill patternType="solid">
          <fgColor rgb="FFC6EFCE"/>
          <bgColor rgb="FFC6EFCE"/>
        </patternFill>
      </fill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theme="4"/>
  </sheetPr>
  <dimension ref="A1:E91"/>
  <sheetViews>
    <sheetView topLeftCell="A10" workbookViewId="0">
      <selection activeCell="C16" sqref="C16"/>
    </sheetView>
  </sheetViews>
  <sheetFormatPr defaultRowHeight="14" x14ac:dyDescent="0.25"/>
  <cols>
    <col min="1" max="1" width="46" customWidth="1"/>
    <col min="2" max="5" width="10" customWidth="1"/>
  </cols>
  <sheetData>
    <row r="1" spans="1:5" ht="30" customHeight="1" x14ac:dyDescent="0.25">
      <c r="A1" s="61" t="s">
        <v>49</v>
      </c>
      <c r="B1" s="55"/>
      <c r="C1" s="55"/>
      <c r="D1" s="55"/>
      <c r="E1" s="55"/>
    </row>
    <row r="2" spans="1:5" ht="6" customHeight="1" x14ac:dyDescent="0.25"/>
    <row r="3" spans="1:5" ht="24" customHeight="1" x14ac:dyDescent="0.25">
      <c r="A3" s="22" t="s">
        <v>50</v>
      </c>
      <c r="B3" s="22" t="s">
        <v>7</v>
      </c>
      <c r="C3" s="22" t="s">
        <v>51</v>
      </c>
      <c r="D3" s="22" t="s">
        <v>10</v>
      </c>
      <c r="E3" s="22" t="s">
        <v>11</v>
      </c>
    </row>
    <row r="4" spans="1:5" ht="22" customHeight="1" x14ac:dyDescent="0.25">
      <c r="A4" s="58" t="s">
        <v>52</v>
      </c>
      <c r="B4" s="59"/>
      <c r="C4" s="59"/>
      <c r="D4" s="59"/>
      <c r="E4" s="60"/>
    </row>
    <row r="5" spans="1:5" ht="22" customHeight="1" x14ac:dyDescent="0.25">
      <c r="A5" s="23" t="s">
        <v>53</v>
      </c>
      <c r="B5" s="30"/>
      <c r="C5" s="30"/>
      <c r="D5" s="30"/>
      <c r="E5" s="30"/>
    </row>
    <row r="6" spans="1:5" ht="22" customHeight="1" x14ac:dyDescent="0.25">
      <c r="A6" s="24" t="s">
        <v>54</v>
      </c>
      <c r="B6" s="25">
        <v>514</v>
      </c>
      <c r="C6" s="25">
        <v>1</v>
      </c>
      <c r="D6" s="25">
        <v>1</v>
      </c>
      <c r="E6" s="25">
        <f t="shared" ref="E6:E24" si="0">IF(AND(C6&lt;&gt;"",D6&lt;&gt;""),D6/C6,"")</f>
        <v>1</v>
      </c>
    </row>
    <row r="7" spans="1:5" ht="22" customHeight="1" x14ac:dyDescent="0.25">
      <c r="A7" s="24" t="s">
        <v>55</v>
      </c>
      <c r="B7" s="25">
        <v>515</v>
      </c>
      <c r="C7" s="25">
        <v>23</v>
      </c>
      <c r="D7" s="25">
        <v>20</v>
      </c>
      <c r="E7" s="25">
        <f t="shared" si="0"/>
        <v>0.86956521739130432</v>
      </c>
    </row>
    <row r="8" spans="1:5" ht="22" customHeight="1" x14ac:dyDescent="0.25">
      <c r="A8" s="24" t="s">
        <v>56</v>
      </c>
      <c r="B8" s="25">
        <v>516</v>
      </c>
      <c r="C8" s="25">
        <v>12</v>
      </c>
      <c r="D8" s="25">
        <v>11</v>
      </c>
      <c r="E8" s="25">
        <f t="shared" si="0"/>
        <v>0.91666666666666663</v>
      </c>
    </row>
    <row r="9" spans="1:5" ht="22" customHeight="1" x14ac:dyDescent="0.25">
      <c r="A9" s="24" t="s">
        <v>57</v>
      </c>
      <c r="B9" s="25">
        <v>517</v>
      </c>
      <c r="C9" s="25">
        <v>15</v>
      </c>
      <c r="D9" s="25">
        <v>12</v>
      </c>
      <c r="E9" s="25">
        <f t="shared" si="0"/>
        <v>0.8</v>
      </c>
    </row>
    <row r="10" spans="1:5" ht="22" customHeight="1" x14ac:dyDescent="0.25">
      <c r="A10" s="24" t="s">
        <v>58</v>
      </c>
      <c r="B10" s="25">
        <v>518</v>
      </c>
      <c r="C10" s="25">
        <v>18</v>
      </c>
      <c r="D10" s="25">
        <v>15</v>
      </c>
      <c r="E10" s="25">
        <f t="shared" si="0"/>
        <v>0.83333333333333337</v>
      </c>
    </row>
    <row r="11" spans="1:5" ht="22" customHeight="1" x14ac:dyDescent="0.25">
      <c r="A11" s="24" t="s">
        <v>59</v>
      </c>
      <c r="B11" s="25">
        <v>520</v>
      </c>
      <c r="C11" s="25">
        <v>24</v>
      </c>
      <c r="D11" s="25">
        <v>18</v>
      </c>
      <c r="E11" s="25">
        <f t="shared" si="0"/>
        <v>0.75</v>
      </c>
    </row>
    <row r="12" spans="1:5" ht="22" customHeight="1" x14ac:dyDescent="0.25">
      <c r="A12" s="24" t="s">
        <v>60</v>
      </c>
      <c r="B12" s="25">
        <v>521</v>
      </c>
      <c r="C12" s="25">
        <v>22</v>
      </c>
      <c r="D12" s="25">
        <v>20</v>
      </c>
      <c r="E12" s="25">
        <f t="shared" si="0"/>
        <v>0.90909090909090906</v>
      </c>
    </row>
    <row r="13" spans="1:5" ht="22" customHeight="1" x14ac:dyDescent="0.25">
      <c r="A13" s="24" t="s">
        <v>61</v>
      </c>
      <c r="B13" s="25"/>
      <c r="C13" s="25"/>
      <c r="D13" s="25"/>
      <c r="E13" s="25" t="str">
        <f t="shared" si="0"/>
        <v/>
      </c>
    </row>
    <row r="14" spans="1:5" ht="22" customHeight="1" x14ac:dyDescent="0.25">
      <c r="A14" s="24" t="s">
        <v>62</v>
      </c>
      <c r="B14" s="25">
        <v>524</v>
      </c>
      <c r="C14" s="25">
        <v>25</v>
      </c>
      <c r="D14" s="25">
        <v>24</v>
      </c>
      <c r="E14" s="25">
        <f t="shared" si="0"/>
        <v>0.96</v>
      </c>
    </row>
    <row r="15" spans="1:5" ht="22" customHeight="1" x14ac:dyDescent="0.25">
      <c r="A15" s="24" t="s">
        <v>63</v>
      </c>
      <c r="B15" s="25">
        <v>526</v>
      </c>
      <c r="C15" s="25">
        <v>36</v>
      </c>
      <c r="D15" s="25">
        <v>28</v>
      </c>
      <c r="E15" s="25">
        <f t="shared" si="0"/>
        <v>0.77777777777777779</v>
      </c>
    </row>
    <row r="16" spans="1:5" ht="22" customHeight="1" x14ac:dyDescent="0.25">
      <c r="A16" s="24" t="s">
        <v>64</v>
      </c>
      <c r="B16" s="25">
        <v>527</v>
      </c>
      <c r="C16" s="25">
        <v>19</v>
      </c>
      <c r="D16" s="25">
        <v>10</v>
      </c>
      <c r="E16" s="25">
        <f t="shared" si="0"/>
        <v>0.52631578947368418</v>
      </c>
    </row>
    <row r="17" spans="1:5" ht="22" customHeight="1" x14ac:dyDescent="0.25">
      <c r="A17" s="24" t="s">
        <v>65</v>
      </c>
      <c r="B17" s="25"/>
      <c r="C17" s="25"/>
      <c r="D17" s="25"/>
      <c r="E17" s="25" t="str">
        <f t="shared" si="0"/>
        <v/>
      </c>
    </row>
    <row r="18" spans="1:5" ht="22" customHeight="1" x14ac:dyDescent="0.25">
      <c r="A18" s="24" t="s">
        <v>66</v>
      </c>
      <c r="B18" s="25"/>
      <c r="C18" s="25"/>
      <c r="D18" s="25"/>
      <c r="E18" s="25" t="str">
        <f t="shared" si="0"/>
        <v/>
      </c>
    </row>
    <row r="19" spans="1:5" ht="22" customHeight="1" x14ac:dyDescent="0.25">
      <c r="A19" s="24" t="s">
        <v>67</v>
      </c>
      <c r="B19" s="25"/>
      <c r="C19" s="25"/>
      <c r="D19" s="25"/>
      <c r="E19" s="25" t="str">
        <f t="shared" si="0"/>
        <v/>
      </c>
    </row>
    <row r="20" spans="1:5" ht="22" customHeight="1" x14ac:dyDescent="0.25">
      <c r="A20" s="24" t="s">
        <v>68</v>
      </c>
      <c r="B20" s="25"/>
      <c r="C20" s="25"/>
      <c r="D20" s="25"/>
      <c r="E20" s="25" t="str">
        <f t="shared" si="0"/>
        <v/>
      </c>
    </row>
    <row r="21" spans="1:5" ht="22" customHeight="1" x14ac:dyDescent="0.25">
      <c r="A21" s="24" t="s">
        <v>69</v>
      </c>
      <c r="B21" s="25"/>
      <c r="C21" s="25"/>
      <c r="D21" s="25"/>
      <c r="E21" s="25" t="str">
        <f t="shared" si="0"/>
        <v/>
      </c>
    </row>
    <row r="22" spans="1:5" ht="22" customHeight="1" x14ac:dyDescent="0.25">
      <c r="A22" s="24" t="s">
        <v>70</v>
      </c>
      <c r="B22" s="25"/>
      <c r="C22" s="25"/>
      <c r="D22" s="25"/>
      <c r="E22" s="25" t="str">
        <f t="shared" si="0"/>
        <v/>
      </c>
    </row>
    <row r="23" spans="1:5" ht="22" customHeight="1" x14ac:dyDescent="0.25">
      <c r="A23" s="24" t="s">
        <v>71</v>
      </c>
      <c r="B23" s="25"/>
      <c r="C23" s="25"/>
      <c r="D23" s="25"/>
      <c r="E23" s="25" t="str">
        <f t="shared" si="0"/>
        <v/>
      </c>
    </row>
    <row r="24" spans="1:5" ht="22" customHeight="1" x14ac:dyDescent="0.25">
      <c r="A24" s="24" t="s">
        <v>72</v>
      </c>
      <c r="B24" s="25"/>
      <c r="C24" s="25"/>
      <c r="D24" s="25"/>
      <c r="E24" s="25" t="str">
        <f t="shared" si="0"/>
        <v/>
      </c>
    </row>
    <row r="25" spans="1:5" ht="22" customHeight="1" x14ac:dyDescent="0.25">
      <c r="A25" s="23" t="s">
        <v>73</v>
      </c>
      <c r="B25" s="30"/>
      <c r="C25" s="30"/>
      <c r="D25" s="30"/>
      <c r="E25" s="30"/>
    </row>
    <row r="26" spans="1:5" ht="22" customHeight="1" x14ac:dyDescent="0.25">
      <c r="A26" s="24" t="s">
        <v>74</v>
      </c>
      <c r="B26" s="25">
        <v>522</v>
      </c>
      <c r="C26" s="25">
        <v>11</v>
      </c>
      <c r="D26" s="25">
        <v>5</v>
      </c>
      <c r="E26" s="25">
        <f t="shared" ref="E26:E31" si="1">IF(AND(C26&lt;&gt;"",D26&lt;&gt;""),D26/C26,"")</f>
        <v>0.45454545454545453</v>
      </c>
    </row>
    <row r="27" spans="1:5" ht="22" customHeight="1" x14ac:dyDescent="0.25">
      <c r="A27" s="24" t="s">
        <v>75</v>
      </c>
      <c r="B27" s="25">
        <v>523</v>
      </c>
      <c r="C27" s="25">
        <v>19</v>
      </c>
      <c r="D27" s="25">
        <v>15</v>
      </c>
      <c r="E27" s="25">
        <f t="shared" si="1"/>
        <v>0.78947368421052633</v>
      </c>
    </row>
    <row r="28" spans="1:5" ht="22" customHeight="1" x14ac:dyDescent="0.25">
      <c r="A28" s="24" t="s">
        <v>76</v>
      </c>
      <c r="B28" s="25">
        <v>525</v>
      </c>
      <c r="C28" s="25">
        <v>15</v>
      </c>
      <c r="D28" s="25">
        <v>13</v>
      </c>
      <c r="E28" s="25">
        <f t="shared" si="1"/>
        <v>0.8666666666666667</v>
      </c>
    </row>
    <row r="29" spans="1:5" ht="22" customHeight="1" x14ac:dyDescent="0.25">
      <c r="A29" s="24" t="s">
        <v>77</v>
      </c>
      <c r="B29" s="25">
        <v>528</v>
      </c>
      <c r="C29" s="25">
        <v>17</v>
      </c>
      <c r="D29" s="25">
        <v>11</v>
      </c>
      <c r="E29" s="25">
        <f t="shared" si="1"/>
        <v>0.6470588235294118</v>
      </c>
    </row>
    <row r="30" spans="1:5" ht="22" customHeight="1" x14ac:dyDescent="0.25">
      <c r="A30" s="24" t="s">
        <v>78</v>
      </c>
      <c r="B30" s="25"/>
      <c r="C30" s="25"/>
      <c r="D30" s="25"/>
      <c r="E30" s="25" t="str">
        <f t="shared" si="1"/>
        <v/>
      </c>
    </row>
    <row r="31" spans="1:5" ht="22" customHeight="1" x14ac:dyDescent="0.25">
      <c r="A31" s="24" t="s">
        <v>79</v>
      </c>
      <c r="B31" s="25"/>
      <c r="C31" s="25"/>
      <c r="D31" s="25"/>
      <c r="E31" s="25" t="str">
        <f t="shared" si="1"/>
        <v/>
      </c>
    </row>
    <row r="32" spans="1:5" ht="22" customHeight="1" x14ac:dyDescent="0.25">
      <c r="A32" s="23" t="s">
        <v>80</v>
      </c>
      <c r="B32" s="30"/>
      <c r="C32" s="30"/>
      <c r="D32" s="30"/>
      <c r="E32" s="30"/>
    </row>
    <row r="33" spans="1:5" ht="22" customHeight="1" x14ac:dyDescent="0.25">
      <c r="A33" s="24" t="s">
        <v>81</v>
      </c>
      <c r="B33" s="25"/>
      <c r="C33" s="25"/>
      <c r="D33" s="25"/>
      <c r="E33" s="25" t="str">
        <f t="shared" ref="E33:E39" si="2">IF(AND(C33&lt;&gt;"",D33&lt;&gt;""),D33/C33,"")</f>
        <v/>
      </c>
    </row>
    <row r="34" spans="1:5" ht="22" customHeight="1" x14ac:dyDescent="0.25">
      <c r="A34" s="24" t="s">
        <v>82</v>
      </c>
      <c r="B34" s="25"/>
      <c r="C34" s="25"/>
      <c r="D34" s="25"/>
      <c r="E34" s="25" t="str">
        <f t="shared" si="2"/>
        <v/>
      </c>
    </row>
    <row r="35" spans="1:5" ht="22" customHeight="1" x14ac:dyDescent="0.25">
      <c r="A35" s="24" t="s">
        <v>83</v>
      </c>
      <c r="B35" s="25"/>
      <c r="C35" s="25"/>
      <c r="D35" s="25"/>
      <c r="E35" s="25" t="str">
        <f t="shared" si="2"/>
        <v/>
      </c>
    </row>
    <row r="36" spans="1:5" ht="22" customHeight="1" x14ac:dyDescent="0.25">
      <c r="A36" s="24" t="s">
        <v>84</v>
      </c>
      <c r="B36" s="25"/>
      <c r="C36" s="25"/>
      <c r="D36" s="25"/>
      <c r="E36" s="25" t="str">
        <f t="shared" si="2"/>
        <v/>
      </c>
    </row>
    <row r="37" spans="1:5" ht="22" customHeight="1" x14ac:dyDescent="0.25">
      <c r="A37" s="24" t="s">
        <v>85</v>
      </c>
      <c r="B37" s="25"/>
      <c r="C37" s="25"/>
      <c r="D37" s="25"/>
      <c r="E37" s="25" t="str">
        <f t="shared" si="2"/>
        <v/>
      </c>
    </row>
    <row r="38" spans="1:5" ht="22" customHeight="1" x14ac:dyDescent="0.25">
      <c r="A38" s="24" t="s">
        <v>86</v>
      </c>
      <c r="B38" s="25"/>
      <c r="C38" s="25"/>
      <c r="D38" s="25"/>
      <c r="E38" s="25" t="str">
        <f t="shared" si="2"/>
        <v/>
      </c>
    </row>
    <row r="39" spans="1:5" ht="22" customHeight="1" x14ac:dyDescent="0.25">
      <c r="A39" s="26" t="s">
        <v>87</v>
      </c>
      <c r="B39" s="27"/>
      <c r="C39" s="27">
        <f>SUM(C5:C38)</f>
        <v>257</v>
      </c>
      <c r="D39" s="27">
        <f>SUM(D5:D38)</f>
        <v>203</v>
      </c>
      <c r="E39" s="27">
        <f t="shared" si="2"/>
        <v>0.78988326848249024</v>
      </c>
    </row>
    <row r="40" spans="1:5" ht="22" customHeight="1" x14ac:dyDescent="0.25"/>
    <row r="41" spans="1:5" ht="22" customHeight="1" x14ac:dyDescent="0.25">
      <c r="A41" s="58" t="s">
        <v>88</v>
      </c>
      <c r="B41" s="59"/>
      <c r="C41" s="59"/>
      <c r="D41" s="59"/>
      <c r="E41" s="60"/>
    </row>
    <row r="42" spans="1:5" ht="22" customHeight="1" x14ac:dyDescent="0.25">
      <c r="A42" s="23" t="s">
        <v>53</v>
      </c>
      <c r="B42" s="30"/>
      <c r="C42" s="30"/>
      <c r="D42" s="30"/>
      <c r="E42" s="30"/>
    </row>
    <row r="43" spans="1:5" ht="22" customHeight="1" x14ac:dyDescent="0.25">
      <c r="A43" s="24" t="s">
        <v>55</v>
      </c>
      <c r="B43" s="25"/>
      <c r="C43" s="25"/>
      <c r="D43" s="25"/>
      <c r="E43" s="25" t="str">
        <f t="shared" ref="E43:E60" si="3">IF(AND(C43&lt;&gt;"",D43&lt;&gt;""),D43/C43,"")</f>
        <v/>
      </c>
    </row>
    <row r="44" spans="1:5" ht="22" customHeight="1" x14ac:dyDescent="0.25">
      <c r="A44" s="24" t="s">
        <v>56</v>
      </c>
      <c r="B44" s="25"/>
      <c r="C44" s="25"/>
      <c r="D44" s="25"/>
      <c r="E44" s="25" t="str">
        <f t="shared" si="3"/>
        <v/>
      </c>
    </row>
    <row r="45" spans="1:5" ht="22" customHeight="1" x14ac:dyDescent="0.25">
      <c r="A45" s="24" t="s">
        <v>57</v>
      </c>
      <c r="B45" s="25"/>
      <c r="C45" s="25"/>
      <c r="D45" s="25"/>
      <c r="E45" s="25" t="str">
        <f t="shared" si="3"/>
        <v/>
      </c>
    </row>
    <row r="46" spans="1:5" ht="22" customHeight="1" x14ac:dyDescent="0.25">
      <c r="A46" s="24" t="s">
        <v>58</v>
      </c>
      <c r="B46" s="25"/>
      <c r="C46" s="25"/>
      <c r="D46" s="25"/>
      <c r="E46" s="25" t="str">
        <f t="shared" si="3"/>
        <v/>
      </c>
    </row>
    <row r="47" spans="1:5" ht="22" customHeight="1" x14ac:dyDescent="0.25">
      <c r="A47" s="24" t="s">
        <v>59</v>
      </c>
      <c r="B47" s="25"/>
      <c r="C47" s="25"/>
      <c r="D47" s="25"/>
      <c r="E47" s="25" t="str">
        <f t="shared" si="3"/>
        <v/>
      </c>
    </row>
    <row r="48" spans="1:5" ht="22" customHeight="1" x14ac:dyDescent="0.25">
      <c r="A48" s="24" t="s">
        <v>60</v>
      </c>
      <c r="B48" s="25"/>
      <c r="C48" s="25"/>
      <c r="D48" s="25"/>
      <c r="E48" s="25" t="str">
        <f t="shared" si="3"/>
        <v/>
      </c>
    </row>
    <row r="49" spans="1:5" ht="22" customHeight="1" x14ac:dyDescent="0.25">
      <c r="A49" s="24" t="s">
        <v>61</v>
      </c>
      <c r="B49" s="25"/>
      <c r="C49" s="25"/>
      <c r="D49" s="25"/>
      <c r="E49" s="25" t="str">
        <f t="shared" si="3"/>
        <v/>
      </c>
    </row>
    <row r="50" spans="1:5" ht="22" customHeight="1" x14ac:dyDescent="0.25">
      <c r="A50" s="24" t="s">
        <v>62</v>
      </c>
      <c r="B50" s="25"/>
      <c r="C50" s="25"/>
      <c r="D50" s="25"/>
      <c r="E50" s="25" t="str">
        <f t="shared" si="3"/>
        <v/>
      </c>
    </row>
    <row r="51" spans="1:5" ht="22" customHeight="1" x14ac:dyDescent="0.25">
      <c r="A51" s="24" t="s">
        <v>63</v>
      </c>
      <c r="B51" s="25"/>
      <c r="C51" s="25"/>
      <c r="D51" s="25"/>
      <c r="E51" s="25" t="str">
        <f t="shared" si="3"/>
        <v/>
      </c>
    </row>
    <row r="52" spans="1:5" ht="22" customHeight="1" x14ac:dyDescent="0.25">
      <c r="A52" s="24" t="s">
        <v>64</v>
      </c>
      <c r="B52" s="25"/>
      <c r="C52" s="25"/>
      <c r="D52" s="25"/>
      <c r="E52" s="25" t="str">
        <f t="shared" si="3"/>
        <v/>
      </c>
    </row>
    <row r="53" spans="1:5" ht="22" customHeight="1" x14ac:dyDescent="0.25">
      <c r="A53" s="24" t="s">
        <v>65</v>
      </c>
      <c r="B53" s="25"/>
      <c r="C53" s="25"/>
      <c r="D53" s="25"/>
      <c r="E53" s="25" t="str">
        <f t="shared" si="3"/>
        <v/>
      </c>
    </row>
    <row r="54" spans="1:5" ht="22" customHeight="1" x14ac:dyDescent="0.25">
      <c r="A54" s="24" t="s">
        <v>66</v>
      </c>
      <c r="B54" s="25"/>
      <c r="C54" s="25"/>
      <c r="D54" s="25"/>
      <c r="E54" s="25" t="str">
        <f t="shared" si="3"/>
        <v/>
      </c>
    </row>
    <row r="55" spans="1:5" ht="22" customHeight="1" x14ac:dyDescent="0.25">
      <c r="A55" s="24" t="s">
        <v>67</v>
      </c>
      <c r="B55" s="25"/>
      <c r="C55" s="25"/>
      <c r="D55" s="25"/>
      <c r="E55" s="25" t="str">
        <f t="shared" si="3"/>
        <v/>
      </c>
    </row>
    <row r="56" spans="1:5" ht="22" customHeight="1" x14ac:dyDescent="0.25">
      <c r="A56" s="24" t="s">
        <v>68</v>
      </c>
      <c r="B56" s="25"/>
      <c r="C56" s="25"/>
      <c r="D56" s="25"/>
      <c r="E56" s="25" t="str">
        <f t="shared" si="3"/>
        <v/>
      </c>
    </row>
    <row r="57" spans="1:5" ht="22" customHeight="1" x14ac:dyDescent="0.25">
      <c r="A57" s="24" t="s">
        <v>69</v>
      </c>
      <c r="B57" s="25"/>
      <c r="C57" s="25"/>
      <c r="D57" s="25"/>
      <c r="E57" s="25" t="str">
        <f t="shared" si="3"/>
        <v/>
      </c>
    </row>
    <row r="58" spans="1:5" ht="22" customHeight="1" x14ac:dyDescent="0.25">
      <c r="A58" s="24" t="s">
        <v>70</v>
      </c>
      <c r="B58" s="25"/>
      <c r="C58" s="25"/>
      <c r="D58" s="25"/>
      <c r="E58" s="25" t="str">
        <f t="shared" si="3"/>
        <v/>
      </c>
    </row>
    <row r="59" spans="1:5" ht="22" customHeight="1" x14ac:dyDescent="0.25">
      <c r="A59" s="24" t="s">
        <v>71</v>
      </c>
      <c r="B59" s="25"/>
      <c r="C59" s="25"/>
      <c r="D59" s="25"/>
      <c r="E59" s="25" t="str">
        <f t="shared" si="3"/>
        <v/>
      </c>
    </row>
    <row r="60" spans="1:5" ht="22" customHeight="1" x14ac:dyDescent="0.25">
      <c r="A60" s="24" t="s">
        <v>72</v>
      </c>
      <c r="B60" s="25"/>
      <c r="C60" s="25"/>
      <c r="D60" s="25"/>
      <c r="E60" s="25" t="str">
        <f t="shared" si="3"/>
        <v/>
      </c>
    </row>
    <row r="61" spans="1:5" ht="22" customHeight="1" x14ac:dyDescent="0.25">
      <c r="A61" s="23" t="s">
        <v>73</v>
      </c>
      <c r="B61" s="30"/>
      <c r="C61" s="30"/>
      <c r="D61" s="30"/>
      <c r="E61" s="30"/>
    </row>
    <row r="62" spans="1:5" ht="22" customHeight="1" x14ac:dyDescent="0.25">
      <c r="A62" s="24" t="s">
        <v>74</v>
      </c>
      <c r="B62" s="25"/>
      <c r="C62" s="25"/>
      <c r="D62" s="25"/>
      <c r="E62" s="25" t="str">
        <f t="shared" ref="E62:E70" si="4">IF(AND(C62&lt;&gt;"",D62&lt;&gt;""),D62/C62,"")</f>
        <v/>
      </c>
    </row>
    <row r="63" spans="1:5" ht="22" customHeight="1" x14ac:dyDescent="0.25">
      <c r="A63" s="24" t="s">
        <v>89</v>
      </c>
      <c r="B63" s="25"/>
      <c r="C63" s="25"/>
      <c r="D63" s="25"/>
      <c r="E63" s="25" t="str">
        <f t="shared" si="4"/>
        <v/>
      </c>
    </row>
    <row r="64" spans="1:5" ht="22" customHeight="1" x14ac:dyDescent="0.25">
      <c r="A64" s="24" t="s">
        <v>90</v>
      </c>
      <c r="B64" s="25"/>
      <c r="C64" s="25"/>
      <c r="D64" s="25"/>
      <c r="E64" s="25" t="str">
        <f t="shared" si="4"/>
        <v/>
      </c>
    </row>
    <row r="65" spans="1:5" ht="22" customHeight="1" x14ac:dyDescent="0.25">
      <c r="A65" s="24" t="s">
        <v>91</v>
      </c>
      <c r="B65" s="25"/>
      <c r="C65" s="25"/>
      <c r="D65" s="25"/>
      <c r="E65" s="25" t="str">
        <f t="shared" si="4"/>
        <v/>
      </c>
    </row>
    <row r="66" spans="1:5" ht="22" customHeight="1" x14ac:dyDescent="0.25">
      <c r="A66" s="24" t="s">
        <v>92</v>
      </c>
      <c r="B66" s="25"/>
      <c r="C66" s="25"/>
      <c r="D66" s="25"/>
      <c r="E66" s="25" t="str">
        <f t="shared" si="4"/>
        <v/>
      </c>
    </row>
    <row r="67" spans="1:5" ht="22" customHeight="1" x14ac:dyDescent="0.25">
      <c r="A67" s="24" t="s">
        <v>93</v>
      </c>
      <c r="B67" s="25"/>
      <c r="C67" s="25"/>
      <c r="D67" s="25"/>
      <c r="E67" s="25" t="str">
        <f t="shared" si="4"/>
        <v/>
      </c>
    </row>
    <row r="68" spans="1:5" ht="22" customHeight="1" x14ac:dyDescent="0.25">
      <c r="A68" s="24" t="s">
        <v>94</v>
      </c>
      <c r="B68" s="25"/>
      <c r="C68" s="25"/>
      <c r="D68" s="25"/>
      <c r="E68" s="25" t="str">
        <f t="shared" si="4"/>
        <v/>
      </c>
    </row>
    <row r="69" spans="1:5" ht="22" customHeight="1" x14ac:dyDescent="0.25">
      <c r="A69" s="24" t="s">
        <v>95</v>
      </c>
      <c r="B69" s="25"/>
      <c r="C69" s="25"/>
      <c r="D69" s="25"/>
      <c r="E69" s="25" t="str">
        <f t="shared" si="4"/>
        <v/>
      </c>
    </row>
    <row r="70" spans="1:5" ht="22" customHeight="1" x14ac:dyDescent="0.25">
      <c r="A70" s="24" t="s">
        <v>96</v>
      </c>
      <c r="B70" s="25"/>
      <c r="C70" s="25"/>
      <c r="D70" s="25"/>
      <c r="E70" s="25" t="str">
        <f t="shared" si="4"/>
        <v/>
      </c>
    </row>
    <row r="71" spans="1:5" ht="22" customHeight="1" x14ac:dyDescent="0.25">
      <c r="A71" s="23" t="s">
        <v>80</v>
      </c>
      <c r="B71" s="30"/>
      <c r="C71" s="30"/>
      <c r="D71" s="30"/>
      <c r="E71" s="30"/>
    </row>
    <row r="72" spans="1:5" ht="22" customHeight="1" x14ac:dyDescent="0.25">
      <c r="A72" s="24" t="s">
        <v>97</v>
      </c>
      <c r="B72" s="25"/>
      <c r="C72" s="25"/>
      <c r="D72" s="25"/>
      <c r="E72" s="25" t="str">
        <f t="shared" ref="E72:E81" si="5">IF(AND(C72&lt;&gt;"",D72&lt;&gt;""),D72/C72,"")</f>
        <v/>
      </c>
    </row>
    <row r="73" spans="1:5" ht="22" customHeight="1" x14ac:dyDescent="0.25">
      <c r="A73" s="24" t="s">
        <v>82</v>
      </c>
      <c r="B73" s="25"/>
      <c r="C73" s="25"/>
      <c r="D73" s="25"/>
      <c r="E73" s="25" t="str">
        <f t="shared" si="5"/>
        <v/>
      </c>
    </row>
    <row r="74" spans="1:5" ht="22" customHeight="1" x14ac:dyDescent="0.25">
      <c r="A74" s="24" t="s">
        <v>98</v>
      </c>
      <c r="B74" s="25"/>
      <c r="C74" s="25"/>
      <c r="D74" s="25"/>
      <c r="E74" s="25" t="str">
        <f t="shared" si="5"/>
        <v/>
      </c>
    </row>
    <row r="75" spans="1:5" ht="22" customHeight="1" x14ac:dyDescent="0.25">
      <c r="A75" s="24" t="s">
        <v>99</v>
      </c>
      <c r="B75" s="25"/>
      <c r="C75" s="25"/>
      <c r="D75" s="25"/>
      <c r="E75" s="25" t="str">
        <f t="shared" si="5"/>
        <v/>
      </c>
    </row>
    <row r="76" spans="1:5" ht="22" customHeight="1" x14ac:dyDescent="0.25">
      <c r="A76" s="24" t="s">
        <v>100</v>
      </c>
      <c r="B76" s="25"/>
      <c r="C76" s="25"/>
      <c r="D76" s="25"/>
      <c r="E76" s="25" t="str">
        <f t="shared" si="5"/>
        <v/>
      </c>
    </row>
    <row r="77" spans="1:5" ht="22" customHeight="1" x14ac:dyDescent="0.25">
      <c r="A77" s="24" t="s">
        <v>101</v>
      </c>
      <c r="B77" s="25"/>
      <c r="C77" s="25"/>
      <c r="D77" s="25"/>
      <c r="E77" s="25" t="str">
        <f t="shared" si="5"/>
        <v/>
      </c>
    </row>
    <row r="78" spans="1:5" ht="22" customHeight="1" x14ac:dyDescent="0.25">
      <c r="A78" s="24" t="s">
        <v>102</v>
      </c>
      <c r="B78" s="25"/>
      <c r="C78" s="25"/>
      <c r="D78" s="25"/>
      <c r="E78" s="25" t="str">
        <f t="shared" si="5"/>
        <v/>
      </c>
    </row>
    <row r="79" spans="1:5" ht="22" customHeight="1" x14ac:dyDescent="0.25">
      <c r="A79" s="24" t="s">
        <v>103</v>
      </c>
      <c r="B79" s="25"/>
      <c r="C79" s="25"/>
      <c r="D79" s="25"/>
      <c r="E79" s="25" t="str">
        <f t="shared" si="5"/>
        <v/>
      </c>
    </row>
    <row r="80" spans="1:5" ht="22" customHeight="1" x14ac:dyDescent="0.25">
      <c r="A80" s="24" t="s">
        <v>104</v>
      </c>
      <c r="B80" s="25"/>
      <c r="C80" s="25"/>
      <c r="D80" s="25"/>
      <c r="E80" s="25" t="str">
        <f t="shared" si="5"/>
        <v/>
      </c>
    </row>
    <row r="81" spans="1:5" ht="22" customHeight="1" x14ac:dyDescent="0.25">
      <c r="A81" s="26" t="s">
        <v>105</v>
      </c>
      <c r="B81" s="27"/>
      <c r="C81" s="27">
        <f>SUM(C42:C80)</f>
        <v>0</v>
      </c>
      <c r="D81" s="27">
        <f>SUM(D42:D80)</f>
        <v>0</v>
      </c>
      <c r="E81" s="27" t="e">
        <f t="shared" si="5"/>
        <v>#DIV/0!</v>
      </c>
    </row>
    <row r="82" spans="1:5" ht="22" customHeight="1" x14ac:dyDescent="0.25"/>
    <row r="83" spans="1:5" ht="22" customHeight="1" x14ac:dyDescent="0.25">
      <c r="A83" s="58" t="s">
        <v>106</v>
      </c>
      <c r="B83" s="59"/>
      <c r="C83" s="59"/>
      <c r="D83" s="59"/>
      <c r="E83" s="60"/>
    </row>
    <row r="84" spans="1:5" ht="22" customHeight="1" x14ac:dyDescent="0.25">
      <c r="A84" s="23" t="s">
        <v>107</v>
      </c>
      <c r="B84" s="30"/>
      <c r="C84" s="30"/>
      <c r="D84" s="30"/>
      <c r="E84" s="30"/>
    </row>
    <row r="85" spans="1:5" ht="22" customHeight="1" x14ac:dyDescent="0.25">
      <c r="A85" s="24" t="s">
        <v>108</v>
      </c>
      <c r="B85" s="25"/>
      <c r="C85" s="25"/>
      <c r="D85" s="25"/>
      <c r="E85" s="25" t="str">
        <f>IF(AND(C85&lt;&gt;"",D85&lt;&gt;""),D85/C85,"")</f>
        <v/>
      </c>
    </row>
    <row r="86" spans="1:5" ht="22" customHeight="1" x14ac:dyDescent="0.25">
      <c r="A86" s="24" t="s">
        <v>109</v>
      </c>
      <c r="B86" s="25"/>
      <c r="C86" s="25"/>
      <c r="D86" s="25"/>
      <c r="E86" s="25" t="str">
        <f>IF(AND(C86&lt;&gt;"",D86&lt;&gt;""),D86/C86,"")</f>
        <v/>
      </c>
    </row>
    <row r="87" spans="1:5" ht="22" customHeight="1" x14ac:dyDescent="0.25">
      <c r="A87" s="24" t="s">
        <v>110</v>
      </c>
      <c r="B87" s="25"/>
      <c r="C87" s="25"/>
      <c r="D87" s="25"/>
      <c r="E87" s="25" t="str">
        <f>IF(AND(C87&lt;&gt;"",D87&lt;&gt;""),D87/C87,"")</f>
        <v/>
      </c>
    </row>
    <row r="88" spans="1:5" ht="22" customHeight="1" x14ac:dyDescent="0.25">
      <c r="A88" s="24" t="s">
        <v>111</v>
      </c>
      <c r="B88" s="25"/>
      <c r="C88" s="25"/>
      <c r="D88" s="25"/>
      <c r="E88" s="25" t="str">
        <f>IF(AND(C88&lt;&gt;"",D88&lt;&gt;""),D88/C88,"")</f>
        <v/>
      </c>
    </row>
    <row r="89" spans="1:5" ht="22" customHeight="1" x14ac:dyDescent="0.25">
      <c r="A89" s="26" t="s">
        <v>112</v>
      </c>
      <c r="B89" s="27"/>
      <c r="C89" s="27">
        <f>SUM(C84:C88)</f>
        <v>0</v>
      </c>
      <c r="D89" s="27">
        <f>SUM(D84:D88)</f>
        <v>0</v>
      </c>
      <c r="E89" s="27" t="e">
        <f>IF(AND(C89&lt;&gt;"",D89&lt;&gt;""),D89/C89,"")</f>
        <v>#DIV/0!</v>
      </c>
    </row>
    <row r="90" spans="1:5" ht="22" customHeight="1" x14ac:dyDescent="0.25"/>
    <row r="91" spans="1:5" ht="22" customHeight="1" x14ac:dyDescent="0.25">
      <c r="A91" s="28" t="s">
        <v>113</v>
      </c>
      <c r="B91" s="29"/>
      <c r="C91" s="29">
        <f>C39+C81+C89</f>
        <v>257</v>
      </c>
      <c r="D91" s="29">
        <f>D39+D81+D89</f>
        <v>203</v>
      </c>
      <c r="E91" s="29">
        <f>IF(AND(C91&lt;&gt;"",D91&lt;&gt;""),D91/C91,"")</f>
        <v>0.78988326848249024</v>
      </c>
    </row>
  </sheetData>
  <mergeCells count="4">
    <mergeCell ref="A4:E4"/>
    <mergeCell ref="A41:E41"/>
    <mergeCell ref="A1:E1"/>
    <mergeCell ref="A83:E83"/>
  </mergeCells>
  <phoneticPr fontId="1" type="noConversion"/>
  <conditionalFormatting sqref="E6:E24">
    <cfRule type="cellIs" dxfId="710" priority="1" operator="greaterThanOrEqual">
      <formula>0.9</formula>
    </cfRule>
    <cfRule type="cellIs" dxfId="709" priority="2" operator="between">
      <formula>0.8</formula>
      <formula>0.9</formula>
    </cfRule>
    <cfRule type="cellIs" dxfId="708" priority="3" operator="lessThan">
      <formula>0.8</formula>
    </cfRule>
  </conditionalFormatting>
  <conditionalFormatting sqref="E26:E31">
    <cfRule type="cellIs" dxfId="707" priority="4" operator="greaterThanOrEqual">
      <formula>0.9</formula>
    </cfRule>
    <cfRule type="cellIs" dxfId="706" priority="5" operator="between">
      <formula>0.8</formula>
      <formula>0.9</formula>
    </cfRule>
    <cfRule type="cellIs" dxfId="705" priority="6" operator="lessThan">
      <formula>0.8</formula>
    </cfRule>
  </conditionalFormatting>
  <conditionalFormatting sqref="E33:E39">
    <cfRule type="cellIs" dxfId="704" priority="7" operator="greaterThanOrEqual">
      <formula>0.9</formula>
    </cfRule>
    <cfRule type="cellIs" dxfId="703" priority="8" operator="between">
      <formula>0.8</formula>
      <formula>0.9</formula>
    </cfRule>
    <cfRule type="cellIs" dxfId="702" priority="9" operator="lessThan">
      <formula>0.8</formula>
    </cfRule>
  </conditionalFormatting>
  <conditionalFormatting sqref="E43:E60">
    <cfRule type="cellIs" dxfId="701" priority="13" operator="greaterThanOrEqual">
      <formula>0.9</formula>
    </cfRule>
    <cfRule type="cellIs" dxfId="700" priority="14" operator="between">
      <formula>0.8</formula>
      <formula>0.9</formula>
    </cfRule>
    <cfRule type="cellIs" dxfId="699" priority="15" operator="lessThan">
      <formula>0.8</formula>
    </cfRule>
  </conditionalFormatting>
  <conditionalFormatting sqref="E62:E70">
    <cfRule type="cellIs" dxfId="698" priority="16" operator="greaterThanOrEqual">
      <formula>0.9</formula>
    </cfRule>
    <cfRule type="cellIs" dxfId="697" priority="17" operator="between">
      <formula>0.8</formula>
      <formula>0.9</formula>
    </cfRule>
    <cfRule type="cellIs" dxfId="696" priority="18" operator="lessThan">
      <formula>0.8</formula>
    </cfRule>
  </conditionalFormatting>
  <conditionalFormatting sqref="E72:E81">
    <cfRule type="cellIs" dxfId="695" priority="19" operator="greaterThanOrEqual">
      <formula>0.9</formula>
    </cfRule>
    <cfRule type="cellIs" dxfId="694" priority="20" operator="between">
      <formula>0.8</formula>
      <formula>0.9</formula>
    </cfRule>
    <cfRule type="cellIs" dxfId="693" priority="21" operator="lessThan">
      <formula>0.8</formula>
    </cfRule>
  </conditionalFormatting>
  <conditionalFormatting sqref="E85:E89">
    <cfRule type="cellIs" dxfId="692" priority="25" operator="greaterThanOrEqual">
      <formula>0.9</formula>
    </cfRule>
    <cfRule type="cellIs" dxfId="691" priority="26" operator="between">
      <formula>0.8</formula>
      <formula>0.9</formula>
    </cfRule>
    <cfRule type="cellIs" dxfId="690" priority="27" operator="lessThan">
      <formula>0.8</formula>
    </cfRule>
  </conditionalFormatting>
  <conditionalFormatting sqref="E91">
    <cfRule type="cellIs" dxfId="689" priority="31" operator="greaterThanOrEqual">
      <formula>0.9</formula>
    </cfRule>
    <cfRule type="cellIs" dxfId="688" priority="32" operator="between">
      <formula>0.8</formula>
      <formula>0.9</formula>
    </cfRule>
    <cfRule type="cellIs" dxfId="687" priority="33" operator="lessThan">
      <formula>0.8</formula>
    </cfRule>
  </conditionalFormatting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theme="4"/>
  </sheetPr>
  <dimension ref="A1:N16"/>
  <sheetViews>
    <sheetView workbookViewId="0">
      <selection activeCell="P7" sqref="P7"/>
    </sheetView>
  </sheetViews>
  <sheetFormatPr defaultRowHeight="14" x14ac:dyDescent="0.25"/>
  <cols>
    <col min="1" max="1" width="50" customWidth="1"/>
    <col min="2" max="2" width="12" customWidth="1"/>
    <col min="3" max="14" width="9" customWidth="1"/>
  </cols>
  <sheetData>
    <row r="1" spans="1:14" ht="30" customHeight="1" x14ac:dyDescent="0.25">
      <c r="A1" s="62" t="s">
        <v>114</v>
      </c>
      <c r="B1" s="55"/>
      <c r="C1" s="55"/>
      <c r="D1" s="55"/>
      <c r="E1" s="55"/>
      <c r="F1" s="55"/>
      <c r="G1" s="55"/>
      <c r="H1" s="55"/>
      <c r="I1" s="55"/>
      <c r="J1" s="55"/>
      <c r="K1" s="55"/>
      <c r="L1" s="55"/>
      <c r="M1" s="55"/>
      <c r="N1" s="55"/>
    </row>
    <row r="2" spans="1:14" ht="6" customHeight="1" x14ac:dyDescent="0.25"/>
    <row r="3" spans="1:14" ht="22" customHeight="1" x14ac:dyDescent="0.25">
      <c r="A3" s="31"/>
      <c r="B3" s="31"/>
      <c r="C3" s="63" t="s">
        <v>115</v>
      </c>
      <c r="D3" s="59"/>
      <c r="E3" s="60"/>
      <c r="F3" s="66" t="s">
        <v>305</v>
      </c>
      <c r="G3" s="59"/>
      <c r="H3" s="60"/>
      <c r="I3" s="65" t="s">
        <v>116</v>
      </c>
      <c r="J3" s="59"/>
      <c r="K3" s="60"/>
      <c r="L3" s="64" t="s">
        <v>47</v>
      </c>
      <c r="M3" s="59"/>
      <c r="N3" s="60"/>
    </row>
    <row r="4" spans="1:14" ht="22" customHeight="1" x14ac:dyDescent="0.25">
      <c r="A4" s="32" t="s">
        <v>50</v>
      </c>
      <c r="B4" s="32" t="s">
        <v>7</v>
      </c>
      <c r="C4" s="32" t="s">
        <v>9</v>
      </c>
      <c r="D4" s="32" t="s">
        <v>10</v>
      </c>
      <c r="E4" s="32" t="s">
        <v>11</v>
      </c>
      <c r="F4" s="32" t="s">
        <v>9</v>
      </c>
      <c r="G4" s="32" t="s">
        <v>10</v>
      </c>
      <c r="H4" s="32" t="s">
        <v>11</v>
      </c>
      <c r="I4" s="32" t="s">
        <v>9</v>
      </c>
      <c r="J4" s="32" t="s">
        <v>10</v>
      </c>
      <c r="K4" s="32" t="s">
        <v>11</v>
      </c>
      <c r="L4" s="32" t="s">
        <v>9</v>
      </c>
      <c r="M4" s="32" t="s">
        <v>10</v>
      </c>
      <c r="N4" s="32" t="s">
        <v>11</v>
      </c>
    </row>
    <row r="5" spans="1:14" ht="22" customHeight="1" x14ac:dyDescent="0.25">
      <c r="A5" s="33" t="s">
        <v>117</v>
      </c>
      <c r="B5" s="34">
        <v>618</v>
      </c>
      <c r="C5" s="34">
        <v>18</v>
      </c>
      <c r="D5" s="34">
        <v>14</v>
      </c>
      <c r="E5" s="34">
        <f t="shared" ref="E5:E14" si="0">IF(AND(C5&lt;&gt;"",D5&lt;&gt;""),D5/C5,"")</f>
        <v>0.77777777777777779</v>
      </c>
      <c r="F5" s="34">
        <v>8</v>
      </c>
      <c r="G5" s="34">
        <v>8</v>
      </c>
      <c r="H5" s="34">
        <f t="shared" ref="H5:H14" si="1">IF(AND(F5&lt;&gt;"",G5&lt;&gt;""),G5/F5,"")</f>
        <v>1</v>
      </c>
      <c r="I5" s="34">
        <v>23</v>
      </c>
      <c r="J5" s="34">
        <v>21</v>
      </c>
      <c r="K5" s="34">
        <f t="shared" ref="K5:K14" si="2">IF(AND(I5&lt;&gt;"",J5&lt;&gt;""),J5/I5,"")</f>
        <v>0.91304347826086951</v>
      </c>
      <c r="L5" s="34">
        <f t="shared" ref="L5:L13" si="3">C5+F5+I5</f>
        <v>49</v>
      </c>
      <c r="M5" s="34">
        <f t="shared" ref="M5:M13" si="4">D5+G5+J5</f>
        <v>43</v>
      </c>
      <c r="N5" s="34">
        <f t="shared" ref="N5:N14" si="5">IF(AND(L5&lt;&gt;"",M5&lt;&gt;""),M5/L5,"")</f>
        <v>0.87755102040816324</v>
      </c>
    </row>
    <row r="6" spans="1:14" ht="22" customHeight="1" x14ac:dyDescent="0.25">
      <c r="A6" s="33" t="s">
        <v>118</v>
      </c>
      <c r="B6" s="34">
        <v>624</v>
      </c>
      <c r="C6" s="34">
        <v>17</v>
      </c>
      <c r="D6" s="34">
        <v>14</v>
      </c>
      <c r="E6" s="34">
        <f t="shared" si="0"/>
        <v>0.82352941176470584</v>
      </c>
      <c r="F6" s="34">
        <v>11</v>
      </c>
      <c r="G6" s="34">
        <v>10</v>
      </c>
      <c r="H6" s="34">
        <f t="shared" si="1"/>
        <v>0.90909090909090906</v>
      </c>
      <c r="I6" s="34">
        <v>26</v>
      </c>
      <c r="J6" s="34">
        <v>15</v>
      </c>
      <c r="K6" s="34">
        <f t="shared" si="2"/>
        <v>0.57692307692307687</v>
      </c>
      <c r="L6" s="34">
        <f t="shared" si="3"/>
        <v>54</v>
      </c>
      <c r="M6" s="34">
        <f t="shared" si="4"/>
        <v>39</v>
      </c>
      <c r="N6" s="34">
        <f t="shared" si="5"/>
        <v>0.72222222222222221</v>
      </c>
    </row>
    <row r="7" spans="1:14" ht="22" customHeight="1" x14ac:dyDescent="0.25">
      <c r="A7" s="33" t="s">
        <v>119</v>
      </c>
      <c r="B7" s="34"/>
      <c r="C7" s="34"/>
      <c r="D7" s="34"/>
      <c r="E7" s="34" t="str">
        <f t="shared" si="0"/>
        <v/>
      </c>
      <c r="F7" s="34"/>
      <c r="G7" s="34"/>
      <c r="H7" s="34" t="str">
        <f t="shared" si="1"/>
        <v/>
      </c>
      <c r="I7" s="34"/>
      <c r="J7" s="34"/>
      <c r="K7" s="34" t="str">
        <f t="shared" si="2"/>
        <v/>
      </c>
      <c r="L7" s="34">
        <f t="shared" si="3"/>
        <v>0</v>
      </c>
      <c r="M7" s="34">
        <f t="shared" si="4"/>
        <v>0</v>
      </c>
      <c r="N7" s="34" t="e">
        <f t="shared" si="5"/>
        <v>#DIV/0!</v>
      </c>
    </row>
    <row r="8" spans="1:14" ht="22" customHeight="1" x14ac:dyDescent="0.25">
      <c r="A8" s="33" t="s">
        <v>120</v>
      </c>
      <c r="B8" s="34"/>
      <c r="C8" s="34"/>
      <c r="D8" s="34"/>
      <c r="E8" s="34" t="str">
        <f t="shared" si="0"/>
        <v/>
      </c>
      <c r="F8" s="34"/>
      <c r="G8" s="34"/>
      <c r="H8" s="34" t="str">
        <f t="shared" si="1"/>
        <v/>
      </c>
      <c r="I8" s="34"/>
      <c r="J8" s="34"/>
      <c r="K8" s="34" t="str">
        <f t="shared" si="2"/>
        <v/>
      </c>
      <c r="L8" s="34">
        <f t="shared" si="3"/>
        <v>0</v>
      </c>
      <c r="M8" s="34">
        <f t="shared" si="4"/>
        <v>0</v>
      </c>
      <c r="N8" s="34" t="e">
        <f t="shared" si="5"/>
        <v>#DIV/0!</v>
      </c>
    </row>
    <row r="9" spans="1:14" ht="22" customHeight="1" x14ac:dyDescent="0.25">
      <c r="A9" s="33" t="s">
        <v>121</v>
      </c>
      <c r="B9" s="34"/>
      <c r="C9" s="34"/>
      <c r="D9" s="34"/>
      <c r="E9" s="34" t="str">
        <f t="shared" si="0"/>
        <v/>
      </c>
      <c r="F9" s="34"/>
      <c r="G9" s="34"/>
      <c r="H9" s="34" t="str">
        <f t="shared" si="1"/>
        <v/>
      </c>
      <c r="I9" s="34"/>
      <c r="J9" s="34"/>
      <c r="K9" s="34" t="str">
        <f t="shared" si="2"/>
        <v/>
      </c>
      <c r="L9" s="34">
        <f t="shared" si="3"/>
        <v>0</v>
      </c>
      <c r="M9" s="34">
        <f t="shared" si="4"/>
        <v>0</v>
      </c>
      <c r="N9" s="34" t="e">
        <f t="shared" si="5"/>
        <v>#DIV/0!</v>
      </c>
    </row>
    <row r="10" spans="1:14" ht="22" customHeight="1" x14ac:dyDescent="0.25">
      <c r="A10" s="33" t="s">
        <v>122</v>
      </c>
      <c r="B10" s="34"/>
      <c r="C10" s="34"/>
      <c r="D10" s="34"/>
      <c r="E10" s="34" t="str">
        <f t="shared" si="0"/>
        <v/>
      </c>
      <c r="F10" s="34"/>
      <c r="G10" s="34"/>
      <c r="H10" s="34" t="str">
        <f t="shared" si="1"/>
        <v/>
      </c>
      <c r="I10" s="34"/>
      <c r="J10" s="34"/>
      <c r="K10" s="34" t="str">
        <f t="shared" si="2"/>
        <v/>
      </c>
      <c r="L10" s="34">
        <f t="shared" si="3"/>
        <v>0</v>
      </c>
      <c r="M10" s="34">
        <f t="shared" si="4"/>
        <v>0</v>
      </c>
      <c r="N10" s="34" t="e">
        <f t="shared" si="5"/>
        <v>#DIV/0!</v>
      </c>
    </row>
    <row r="11" spans="1:14" ht="22" customHeight="1" x14ac:dyDescent="0.25">
      <c r="A11" s="33" t="s">
        <v>123</v>
      </c>
      <c r="B11" s="34"/>
      <c r="C11" s="34"/>
      <c r="D11" s="34"/>
      <c r="E11" s="34" t="str">
        <f t="shared" si="0"/>
        <v/>
      </c>
      <c r="F11" s="34"/>
      <c r="G11" s="34"/>
      <c r="H11" s="34" t="str">
        <f t="shared" si="1"/>
        <v/>
      </c>
      <c r="I11" s="34"/>
      <c r="J11" s="34"/>
      <c r="K11" s="34" t="str">
        <f t="shared" si="2"/>
        <v/>
      </c>
      <c r="L11" s="34">
        <f t="shared" si="3"/>
        <v>0</v>
      </c>
      <c r="M11" s="34">
        <f t="shared" si="4"/>
        <v>0</v>
      </c>
      <c r="N11" s="34" t="e">
        <f t="shared" si="5"/>
        <v>#DIV/0!</v>
      </c>
    </row>
    <row r="12" spans="1:14" ht="22" customHeight="1" x14ac:dyDescent="0.25">
      <c r="A12" s="33" t="s">
        <v>124</v>
      </c>
      <c r="B12" s="34"/>
      <c r="C12" s="34"/>
      <c r="D12" s="34"/>
      <c r="E12" s="34" t="str">
        <f t="shared" si="0"/>
        <v/>
      </c>
      <c r="F12" s="34"/>
      <c r="G12" s="34"/>
      <c r="H12" s="34" t="str">
        <f t="shared" si="1"/>
        <v/>
      </c>
      <c r="I12" s="34"/>
      <c r="J12" s="34"/>
      <c r="K12" s="34" t="str">
        <f t="shared" si="2"/>
        <v/>
      </c>
      <c r="L12" s="34">
        <f t="shared" si="3"/>
        <v>0</v>
      </c>
      <c r="M12" s="34">
        <f t="shared" si="4"/>
        <v>0</v>
      </c>
      <c r="N12" s="34" t="e">
        <f t="shared" si="5"/>
        <v>#DIV/0!</v>
      </c>
    </row>
    <row r="13" spans="1:14" ht="22" customHeight="1" x14ac:dyDescent="0.25">
      <c r="A13" s="33" t="s">
        <v>125</v>
      </c>
      <c r="B13" s="34"/>
      <c r="C13" s="34"/>
      <c r="D13" s="34"/>
      <c r="E13" s="34" t="str">
        <f t="shared" si="0"/>
        <v/>
      </c>
      <c r="F13" s="34"/>
      <c r="G13" s="34"/>
      <c r="H13" s="34" t="str">
        <f t="shared" si="1"/>
        <v/>
      </c>
      <c r="I13" s="34"/>
      <c r="J13" s="34"/>
      <c r="K13" s="34" t="str">
        <f t="shared" si="2"/>
        <v/>
      </c>
      <c r="L13" s="34">
        <f t="shared" si="3"/>
        <v>0</v>
      </c>
      <c r="M13" s="34">
        <f t="shared" si="4"/>
        <v>0</v>
      </c>
      <c r="N13" s="34" t="e">
        <f t="shared" si="5"/>
        <v>#DIV/0!</v>
      </c>
    </row>
    <row r="14" spans="1:14" ht="22" customHeight="1" x14ac:dyDescent="0.25">
      <c r="A14" s="35" t="s">
        <v>47</v>
      </c>
      <c r="B14" s="36"/>
      <c r="C14" s="37">
        <f>SUM(C5:C13)</f>
        <v>35</v>
      </c>
      <c r="D14" s="37">
        <f>SUM(D5:D13)</f>
        <v>28</v>
      </c>
      <c r="E14" s="37">
        <f t="shared" si="0"/>
        <v>0.8</v>
      </c>
      <c r="F14" s="37">
        <f>SUM(F5:F13)</f>
        <v>19</v>
      </c>
      <c r="G14" s="37">
        <f>SUM(G5:G13)</f>
        <v>18</v>
      </c>
      <c r="H14" s="37">
        <f t="shared" si="1"/>
        <v>0.94736842105263153</v>
      </c>
      <c r="I14" s="37">
        <f>SUM(I5:I13)</f>
        <v>49</v>
      </c>
      <c r="J14" s="37">
        <f>SUM(J5:J13)</f>
        <v>36</v>
      </c>
      <c r="K14" s="37">
        <f t="shared" si="2"/>
        <v>0.73469387755102045</v>
      </c>
      <c r="L14" s="37">
        <f>SUM(L5:L13)</f>
        <v>103</v>
      </c>
      <c r="M14" s="37">
        <f>SUM(M5:M13)</f>
        <v>82</v>
      </c>
      <c r="N14" s="37">
        <f t="shared" si="5"/>
        <v>0.79611650485436891</v>
      </c>
    </row>
    <row r="15" spans="1:14" ht="22" customHeight="1" x14ac:dyDescent="0.25"/>
    <row r="16" spans="1:14" ht="22" customHeight="1" x14ac:dyDescent="0.25">
      <c r="A16" s="38" t="s">
        <v>48</v>
      </c>
      <c r="B16" s="39"/>
      <c r="C16" s="40">
        <f>C14</f>
        <v>35</v>
      </c>
      <c r="D16" s="40">
        <f>D14</f>
        <v>28</v>
      </c>
      <c r="E16" s="40">
        <f>IF(AND(C16&lt;&gt;"",D16&lt;&gt;""),D16/C16,"")</f>
        <v>0.8</v>
      </c>
      <c r="F16" s="40">
        <f>F14</f>
        <v>19</v>
      </c>
      <c r="G16" s="40">
        <f>G14</f>
        <v>18</v>
      </c>
      <c r="H16" s="40">
        <f>IF(AND(F16&lt;&gt;"",G16&lt;&gt;""),G16/F16,"")</f>
        <v>0.94736842105263153</v>
      </c>
      <c r="I16" s="40">
        <f>I14</f>
        <v>49</v>
      </c>
      <c r="J16" s="40">
        <f>J14</f>
        <v>36</v>
      </c>
      <c r="K16" s="40">
        <f>IF(AND(I16&lt;&gt;"",J16&lt;&gt;""),J16/I16,"")</f>
        <v>0.73469387755102045</v>
      </c>
      <c r="L16" s="40">
        <f>L14</f>
        <v>103</v>
      </c>
      <c r="M16" s="40">
        <f>M14</f>
        <v>82</v>
      </c>
      <c r="N16" s="40">
        <f>IF(AND(L16&lt;&gt;"",M16&lt;&gt;""),M16/L16,"")</f>
        <v>0.79611650485436891</v>
      </c>
    </row>
  </sheetData>
  <mergeCells count="5">
    <mergeCell ref="A1:N1"/>
    <mergeCell ref="C3:E3"/>
    <mergeCell ref="L3:N3"/>
    <mergeCell ref="I3:K3"/>
    <mergeCell ref="F3:H3"/>
  </mergeCells>
  <phoneticPr fontId="1" type="noConversion"/>
  <conditionalFormatting sqref="E5:E14">
    <cfRule type="cellIs" dxfId="686" priority="1" operator="greaterThanOrEqual">
      <formula>0.9</formula>
    </cfRule>
    <cfRule type="cellIs" dxfId="685" priority="2" operator="between">
      <formula>0.8</formula>
      <formula>0.9</formula>
    </cfRule>
    <cfRule type="cellIs" dxfId="684" priority="3" operator="lessThan">
      <formula>0.8</formula>
    </cfRule>
  </conditionalFormatting>
  <conditionalFormatting sqref="E16">
    <cfRule type="cellIs" dxfId="683" priority="7" operator="greaterThanOrEqual">
      <formula>0.9</formula>
    </cfRule>
    <cfRule type="cellIs" dxfId="682" priority="8" operator="between">
      <formula>0.8</formula>
      <formula>0.9</formula>
    </cfRule>
    <cfRule type="cellIs" dxfId="681" priority="9" operator="lessThan">
      <formula>0.8</formula>
    </cfRule>
  </conditionalFormatting>
  <conditionalFormatting sqref="H5:H14">
    <cfRule type="cellIs" dxfId="680" priority="10" operator="greaterThanOrEqual">
      <formula>0.9</formula>
    </cfRule>
    <cfRule type="cellIs" dxfId="679" priority="11" operator="between">
      <formula>0.8</formula>
      <formula>0.9</formula>
    </cfRule>
    <cfRule type="cellIs" dxfId="678" priority="12" operator="lessThan">
      <formula>0.8</formula>
    </cfRule>
  </conditionalFormatting>
  <conditionalFormatting sqref="H16">
    <cfRule type="cellIs" dxfId="677" priority="16" operator="greaterThanOrEqual">
      <formula>0.9</formula>
    </cfRule>
    <cfRule type="cellIs" dxfId="676" priority="17" operator="between">
      <formula>0.8</formula>
      <formula>0.9</formula>
    </cfRule>
    <cfRule type="cellIs" dxfId="675" priority="18" operator="lessThan">
      <formula>0.8</formula>
    </cfRule>
  </conditionalFormatting>
  <conditionalFormatting sqref="K5:K14">
    <cfRule type="cellIs" dxfId="674" priority="19" operator="greaterThanOrEqual">
      <formula>0.9</formula>
    </cfRule>
    <cfRule type="cellIs" dxfId="673" priority="20" operator="between">
      <formula>0.8</formula>
      <formula>0.9</formula>
    </cfRule>
    <cfRule type="cellIs" dxfId="672" priority="21" operator="lessThan">
      <formula>0.8</formula>
    </cfRule>
  </conditionalFormatting>
  <conditionalFormatting sqref="K16">
    <cfRule type="cellIs" dxfId="671" priority="25" operator="greaterThanOrEqual">
      <formula>0.9</formula>
    </cfRule>
    <cfRule type="cellIs" dxfId="670" priority="26" operator="between">
      <formula>0.8</formula>
      <formula>0.9</formula>
    </cfRule>
    <cfRule type="cellIs" dxfId="669" priority="27" operator="lessThan">
      <formula>0.8</formula>
    </cfRule>
  </conditionalFormatting>
  <conditionalFormatting sqref="N5:N14">
    <cfRule type="cellIs" dxfId="668" priority="28" operator="greaterThanOrEqual">
      <formula>0.9</formula>
    </cfRule>
    <cfRule type="cellIs" dxfId="667" priority="29" operator="between">
      <formula>0.8</formula>
      <formula>0.9</formula>
    </cfRule>
    <cfRule type="cellIs" dxfId="666" priority="30" operator="lessThan">
      <formula>0.8</formula>
    </cfRule>
  </conditionalFormatting>
  <conditionalFormatting sqref="N16">
    <cfRule type="cellIs" dxfId="665" priority="34" operator="greaterThanOrEqual">
      <formula>0.9</formula>
    </cfRule>
    <cfRule type="cellIs" dxfId="664" priority="35" operator="between">
      <formula>0.8</formula>
      <formula>0.9</formula>
    </cfRule>
    <cfRule type="cellIs" dxfId="663" priority="36" operator="lessThan">
      <formula>0.8</formula>
    </cfRule>
  </conditionalFormatting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tabColor theme="4"/>
  </sheetPr>
  <dimension ref="A1:N112"/>
  <sheetViews>
    <sheetView tabSelected="1" topLeftCell="A39" zoomScale="86" workbookViewId="0">
      <selection activeCell="J45" sqref="J45"/>
    </sheetView>
  </sheetViews>
  <sheetFormatPr defaultRowHeight="14" x14ac:dyDescent="0.25"/>
  <cols>
    <col min="1" max="1" width="30" customWidth="1"/>
    <col min="2" max="2" width="12" customWidth="1"/>
    <col min="3" max="14" width="9" customWidth="1"/>
  </cols>
  <sheetData>
    <row r="1" spans="1:11" ht="30" customHeight="1" x14ac:dyDescent="0.25">
      <c r="A1" s="72" t="s">
        <v>126</v>
      </c>
      <c r="B1" s="55"/>
      <c r="C1" s="55"/>
      <c r="D1" s="55"/>
      <c r="E1" s="55"/>
      <c r="F1" s="55"/>
      <c r="G1" s="55"/>
      <c r="H1" s="55"/>
      <c r="I1" s="55"/>
      <c r="J1" s="55"/>
      <c r="K1" s="55"/>
    </row>
    <row r="2" spans="1:11" ht="6" customHeight="1" x14ac:dyDescent="0.25"/>
    <row r="3" spans="1:11" ht="24" customHeight="1" x14ac:dyDescent="0.25">
      <c r="A3" s="1"/>
      <c r="B3" s="1"/>
      <c r="C3" s="67" t="s">
        <v>52</v>
      </c>
      <c r="D3" s="59"/>
      <c r="E3" s="60"/>
      <c r="F3" s="69" t="s">
        <v>106</v>
      </c>
      <c r="G3" s="59"/>
      <c r="H3" s="60"/>
      <c r="I3" s="71" t="s">
        <v>47</v>
      </c>
      <c r="J3" s="59"/>
      <c r="K3" s="60"/>
    </row>
    <row r="4" spans="1:11" ht="24" customHeight="1" x14ac:dyDescent="0.25">
      <c r="A4" s="2" t="s">
        <v>50</v>
      </c>
      <c r="B4" s="2" t="s">
        <v>127</v>
      </c>
      <c r="C4" s="2" t="s">
        <v>9</v>
      </c>
      <c r="D4" s="2" t="s">
        <v>10</v>
      </c>
      <c r="E4" s="2" t="s">
        <v>11</v>
      </c>
      <c r="F4" s="2" t="s">
        <v>9</v>
      </c>
      <c r="G4" s="2" t="s">
        <v>10</v>
      </c>
      <c r="H4" s="2" t="s">
        <v>11</v>
      </c>
      <c r="I4" s="2" t="s">
        <v>9</v>
      </c>
      <c r="J4" s="2" t="s">
        <v>10</v>
      </c>
      <c r="K4" s="2" t="s">
        <v>11</v>
      </c>
    </row>
    <row r="5" spans="1:11" ht="22" customHeight="1" x14ac:dyDescent="0.25">
      <c r="A5" s="68" t="s">
        <v>53</v>
      </c>
      <c r="B5" s="59"/>
      <c r="C5" s="59"/>
      <c r="D5" s="59"/>
      <c r="E5" s="59"/>
      <c r="F5" s="59"/>
      <c r="G5" s="59"/>
      <c r="H5" s="59"/>
      <c r="I5" s="59"/>
      <c r="J5" s="59"/>
      <c r="K5" s="60"/>
    </row>
    <row r="6" spans="1:11" ht="22" customHeight="1" x14ac:dyDescent="0.25">
      <c r="A6" s="3" t="s">
        <v>128</v>
      </c>
      <c r="B6" s="4">
        <v>618</v>
      </c>
      <c r="C6" s="4">
        <v>15</v>
      </c>
      <c r="D6" s="4">
        <v>14</v>
      </c>
      <c r="E6" s="4">
        <f t="shared" ref="E6:E15" si="0">IF(AND(C6&lt;&gt;"",D6&lt;&gt;""),D6/C6,"")</f>
        <v>0.93333333333333335</v>
      </c>
      <c r="F6" s="4">
        <v>22</v>
      </c>
      <c r="G6" s="4">
        <v>21</v>
      </c>
      <c r="H6" s="4">
        <f t="shared" ref="H6:H15" si="1">IF(AND(F6&lt;&gt;"",G6&lt;&gt;""),G6/F6,"")</f>
        <v>0.95454545454545459</v>
      </c>
      <c r="I6" s="4">
        <f t="shared" ref="I6:I14" si="2">C6+F6</f>
        <v>37</v>
      </c>
      <c r="J6" s="4">
        <f t="shared" ref="J6:J14" si="3">D6+G6</f>
        <v>35</v>
      </c>
      <c r="K6" s="4">
        <f t="shared" ref="K6:K15" si="4">IF(AND(I6&lt;&gt;"",J6&lt;&gt;""),J6/I6,"")</f>
        <v>0.94594594594594594</v>
      </c>
    </row>
    <row r="7" spans="1:11" ht="22" customHeight="1" x14ac:dyDescent="0.25">
      <c r="A7" s="3" t="s">
        <v>129</v>
      </c>
      <c r="B7" s="4"/>
      <c r="C7" s="4"/>
      <c r="D7" s="4"/>
      <c r="E7" s="4" t="str">
        <f t="shared" si="0"/>
        <v/>
      </c>
      <c r="F7" s="4"/>
      <c r="G7" s="4"/>
      <c r="H7" s="4" t="str">
        <f t="shared" si="1"/>
        <v/>
      </c>
      <c r="I7" s="4">
        <f t="shared" si="2"/>
        <v>0</v>
      </c>
      <c r="J7" s="4">
        <f t="shared" si="3"/>
        <v>0</v>
      </c>
      <c r="K7" s="4" t="e">
        <f t="shared" si="4"/>
        <v>#DIV/0!</v>
      </c>
    </row>
    <row r="8" spans="1:11" ht="22" customHeight="1" x14ac:dyDescent="0.25">
      <c r="A8" s="3" t="s">
        <v>130</v>
      </c>
      <c r="B8" s="4"/>
      <c r="C8" s="4"/>
      <c r="D8" s="4"/>
      <c r="E8" s="4" t="str">
        <f t="shared" si="0"/>
        <v/>
      </c>
      <c r="F8" s="4"/>
      <c r="G8" s="4"/>
      <c r="H8" s="4" t="str">
        <f t="shared" si="1"/>
        <v/>
      </c>
      <c r="I8" s="4">
        <f t="shared" si="2"/>
        <v>0</v>
      </c>
      <c r="J8" s="4">
        <f t="shared" si="3"/>
        <v>0</v>
      </c>
      <c r="K8" s="4" t="e">
        <f t="shared" si="4"/>
        <v>#DIV/0!</v>
      </c>
    </row>
    <row r="9" spans="1:11" ht="22" customHeight="1" x14ac:dyDescent="0.25">
      <c r="A9" s="3" t="s">
        <v>131</v>
      </c>
      <c r="B9" s="4"/>
      <c r="C9" s="4"/>
      <c r="D9" s="4"/>
      <c r="E9" s="4" t="str">
        <f t="shared" si="0"/>
        <v/>
      </c>
      <c r="F9" s="4"/>
      <c r="G9" s="4"/>
      <c r="H9" s="4" t="str">
        <f t="shared" si="1"/>
        <v/>
      </c>
      <c r="I9" s="4">
        <f t="shared" si="2"/>
        <v>0</v>
      </c>
      <c r="J9" s="4">
        <f t="shared" si="3"/>
        <v>0</v>
      </c>
      <c r="K9" s="4" t="e">
        <f t="shared" si="4"/>
        <v>#DIV/0!</v>
      </c>
    </row>
    <row r="10" spans="1:11" ht="22" customHeight="1" x14ac:dyDescent="0.25">
      <c r="A10" s="3" t="s">
        <v>132</v>
      </c>
      <c r="B10" s="4"/>
      <c r="C10" s="4"/>
      <c r="D10" s="4"/>
      <c r="E10" s="4" t="str">
        <f t="shared" si="0"/>
        <v/>
      </c>
      <c r="F10" s="4"/>
      <c r="G10" s="4"/>
      <c r="H10" s="4" t="str">
        <f t="shared" si="1"/>
        <v/>
      </c>
      <c r="I10" s="4">
        <f t="shared" si="2"/>
        <v>0</v>
      </c>
      <c r="J10" s="4">
        <f t="shared" si="3"/>
        <v>0</v>
      </c>
      <c r="K10" s="4" t="e">
        <f t="shared" si="4"/>
        <v>#DIV/0!</v>
      </c>
    </row>
    <row r="11" spans="1:11" ht="22" customHeight="1" x14ac:dyDescent="0.25">
      <c r="A11" s="3" t="s">
        <v>133</v>
      </c>
      <c r="B11" s="4"/>
      <c r="C11" s="4"/>
      <c r="D11" s="4"/>
      <c r="E11" s="4" t="str">
        <f t="shared" si="0"/>
        <v/>
      </c>
      <c r="F11" s="4"/>
      <c r="G11" s="4"/>
      <c r="H11" s="4" t="str">
        <f t="shared" si="1"/>
        <v/>
      </c>
      <c r="I11" s="4">
        <f t="shared" si="2"/>
        <v>0</v>
      </c>
      <c r="J11" s="4">
        <f t="shared" si="3"/>
        <v>0</v>
      </c>
      <c r="K11" s="4" t="e">
        <f t="shared" si="4"/>
        <v>#DIV/0!</v>
      </c>
    </row>
    <row r="12" spans="1:11" ht="22" customHeight="1" x14ac:dyDescent="0.25">
      <c r="A12" s="3" t="s">
        <v>134</v>
      </c>
      <c r="B12" s="4"/>
      <c r="C12" s="4"/>
      <c r="D12" s="4"/>
      <c r="E12" s="4" t="str">
        <f t="shared" si="0"/>
        <v/>
      </c>
      <c r="F12" s="4"/>
      <c r="G12" s="4"/>
      <c r="H12" s="4" t="str">
        <f t="shared" si="1"/>
        <v/>
      </c>
      <c r="I12" s="4">
        <f t="shared" si="2"/>
        <v>0</v>
      </c>
      <c r="J12" s="4">
        <f t="shared" si="3"/>
        <v>0</v>
      </c>
      <c r="K12" s="4" t="e">
        <f t="shared" si="4"/>
        <v>#DIV/0!</v>
      </c>
    </row>
    <row r="13" spans="1:11" ht="22" customHeight="1" x14ac:dyDescent="0.25">
      <c r="A13" s="3" t="s">
        <v>135</v>
      </c>
      <c r="B13" s="4"/>
      <c r="C13" s="4"/>
      <c r="D13" s="4"/>
      <c r="E13" s="4" t="str">
        <f t="shared" si="0"/>
        <v/>
      </c>
      <c r="F13" s="4"/>
      <c r="G13" s="4"/>
      <c r="H13" s="4" t="str">
        <f t="shared" si="1"/>
        <v/>
      </c>
      <c r="I13" s="4">
        <f t="shared" si="2"/>
        <v>0</v>
      </c>
      <c r="J13" s="4">
        <f t="shared" si="3"/>
        <v>0</v>
      </c>
      <c r="K13" s="4" t="e">
        <f t="shared" si="4"/>
        <v>#DIV/0!</v>
      </c>
    </row>
    <row r="14" spans="1:11" ht="22" customHeight="1" x14ac:dyDescent="0.25">
      <c r="A14" s="3" t="s">
        <v>136</v>
      </c>
      <c r="B14" s="4"/>
      <c r="C14" s="4"/>
      <c r="D14" s="4"/>
      <c r="E14" s="4" t="str">
        <f t="shared" si="0"/>
        <v/>
      </c>
      <c r="F14" s="4"/>
      <c r="G14" s="4"/>
      <c r="H14" s="4" t="str">
        <f t="shared" si="1"/>
        <v/>
      </c>
      <c r="I14" s="4">
        <f t="shared" si="2"/>
        <v>0</v>
      </c>
      <c r="J14" s="4">
        <f t="shared" si="3"/>
        <v>0</v>
      </c>
      <c r="K14" s="4" t="e">
        <f t="shared" si="4"/>
        <v>#DIV/0!</v>
      </c>
    </row>
    <row r="15" spans="1:11" ht="22" customHeight="1" x14ac:dyDescent="0.25">
      <c r="A15" s="5" t="s">
        <v>137</v>
      </c>
      <c r="B15" s="6"/>
      <c r="C15" s="7">
        <f>SUM(C6:C14)</f>
        <v>15</v>
      </c>
      <c r="D15" s="7">
        <f>SUM(D6:D14)</f>
        <v>14</v>
      </c>
      <c r="E15" s="7">
        <f t="shared" si="0"/>
        <v>0.93333333333333335</v>
      </c>
      <c r="F15" s="7">
        <f>SUM(F6:F14)</f>
        <v>22</v>
      </c>
      <c r="G15" s="7">
        <f>SUM(G6:G14)</f>
        <v>21</v>
      </c>
      <c r="H15" s="7">
        <f t="shared" si="1"/>
        <v>0.95454545454545459</v>
      </c>
      <c r="I15" s="7">
        <f>SUM(I6:I14)</f>
        <v>37</v>
      </c>
      <c r="J15" s="7">
        <f>SUM(J6:J14)</f>
        <v>35</v>
      </c>
      <c r="K15" s="7">
        <f t="shared" si="4"/>
        <v>0.94594594594594594</v>
      </c>
    </row>
    <row r="16" spans="1:11" ht="22" customHeight="1" x14ac:dyDescent="0.25"/>
    <row r="17" spans="1:11" ht="22" customHeight="1" x14ac:dyDescent="0.25">
      <c r="A17" s="68" t="s">
        <v>73</v>
      </c>
      <c r="B17" s="59"/>
      <c r="C17" s="59"/>
      <c r="D17" s="59"/>
      <c r="E17" s="59"/>
      <c r="F17" s="59"/>
      <c r="G17" s="59"/>
      <c r="H17" s="59"/>
      <c r="I17" s="59"/>
      <c r="J17" s="59"/>
      <c r="K17" s="60"/>
    </row>
    <row r="18" spans="1:11" ht="22" customHeight="1" x14ac:dyDescent="0.25">
      <c r="A18" s="3" t="s">
        <v>138</v>
      </c>
      <c r="B18" s="4"/>
      <c r="C18" s="4"/>
      <c r="D18" s="4"/>
      <c r="E18" s="4" t="str">
        <f t="shared" ref="E18:E24" si="5">IF(AND(C18&lt;&gt;"",D18&lt;&gt;""),D18/C18,"")</f>
        <v/>
      </c>
      <c r="F18" s="4"/>
      <c r="G18" s="4"/>
      <c r="H18" s="4" t="str">
        <f t="shared" ref="H18:H24" si="6">IF(AND(F18&lt;&gt;"",G18&lt;&gt;""),G18/F18,"")</f>
        <v/>
      </c>
      <c r="I18" s="4">
        <f t="shared" ref="I18:J23" si="7">C18+F18</f>
        <v>0</v>
      </c>
      <c r="J18" s="4">
        <f t="shared" si="7"/>
        <v>0</v>
      </c>
      <c r="K18" s="4" t="e">
        <f t="shared" ref="K18:K24" si="8">IF(AND(I18&lt;&gt;"",J18&lt;&gt;""),J18/I18,"")</f>
        <v>#DIV/0!</v>
      </c>
    </row>
    <row r="19" spans="1:11" ht="22" customHeight="1" x14ac:dyDescent="0.25">
      <c r="A19" s="3" t="s">
        <v>139</v>
      </c>
      <c r="B19" s="4"/>
      <c r="C19" s="4"/>
      <c r="D19" s="4"/>
      <c r="E19" s="4" t="str">
        <f t="shared" si="5"/>
        <v/>
      </c>
      <c r="F19" s="4"/>
      <c r="G19" s="4"/>
      <c r="H19" s="4" t="str">
        <f t="shared" si="6"/>
        <v/>
      </c>
      <c r="I19" s="4">
        <f t="shared" si="7"/>
        <v>0</v>
      </c>
      <c r="J19" s="4">
        <f t="shared" si="7"/>
        <v>0</v>
      </c>
      <c r="K19" s="4" t="e">
        <f t="shared" si="8"/>
        <v>#DIV/0!</v>
      </c>
    </row>
    <row r="20" spans="1:11" ht="22" customHeight="1" x14ac:dyDescent="0.25">
      <c r="A20" s="3" t="s">
        <v>140</v>
      </c>
      <c r="B20" s="4"/>
      <c r="C20" s="4"/>
      <c r="D20" s="4"/>
      <c r="E20" s="4" t="str">
        <f t="shared" si="5"/>
        <v/>
      </c>
      <c r="F20" s="4"/>
      <c r="G20" s="4"/>
      <c r="H20" s="4" t="str">
        <f t="shared" si="6"/>
        <v/>
      </c>
      <c r="I20" s="4">
        <f t="shared" si="7"/>
        <v>0</v>
      </c>
      <c r="J20" s="4">
        <f t="shared" si="7"/>
        <v>0</v>
      </c>
      <c r="K20" s="4" t="e">
        <f t="shared" si="8"/>
        <v>#DIV/0!</v>
      </c>
    </row>
    <row r="21" spans="1:11" ht="22" customHeight="1" x14ac:dyDescent="0.25">
      <c r="A21" s="3" t="s">
        <v>141</v>
      </c>
      <c r="B21" s="4"/>
      <c r="C21" s="4"/>
      <c r="D21" s="4"/>
      <c r="E21" s="4" t="str">
        <f t="shared" si="5"/>
        <v/>
      </c>
      <c r="F21" s="4"/>
      <c r="G21" s="4"/>
      <c r="H21" s="4" t="str">
        <f t="shared" si="6"/>
        <v/>
      </c>
      <c r="I21" s="4">
        <f t="shared" si="7"/>
        <v>0</v>
      </c>
      <c r="J21" s="4">
        <f t="shared" si="7"/>
        <v>0</v>
      </c>
      <c r="K21" s="4" t="e">
        <f t="shared" si="8"/>
        <v>#DIV/0!</v>
      </c>
    </row>
    <row r="22" spans="1:11" ht="22" customHeight="1" x14ac:dyDescent="0.25">
      <c r="A22" s="3" t="s">
        <v>142</v>
      </c>
      <c r="B22" s="4"/>
      <c r="C22" s="4"/>
      <c r="D22" s="4"/>
      <c r="E22" s="4" t="str">
        <f t="shared" si="5"/>
        <v/>
      </c>
      <c r="F22" s="4"/>
      <c r="G22" s="4"/>
      <c r="H22" s="4" t="str">
        <f t="shared" si="6"/>
        <v/>
      </c>
      <c r="I22" s="4">
        <f t="shared" si="7"/>
        <v>0</v>
      </c>
      <c r="J22" s="4">
        <f t="shared" si="7"/>
        <v>0</v>
      </c>
      <c r="K22" s="4" t="e">
        <f t="shared" si="8"/>
        <v>#DIV/0!</v>
      </c>
    </row>
    <row r="23" spans="1:11" ht="22" customHeight="1" x14ac:dyDescent="0.25">
      <c r="A23" s="3" t="s">
        <v>143</v>
      </c>
      <c r="B23" s="4"/>
      <c r="C23" s="4"/>
      <c r="D23" s="4"/>
      <c r="E23" s="4" t="str">
        <f t="shared" si="5"/>
        <v/>
      </c>
      <c r="F23" s="4"/>
      <c r="G23" s="4"/>
      <c r="H23" s="4" t="str">
        <f t="shared" si="6"/>
        <v/>
      </c>
      <c r="I23" s="4">
        <f t="shared" si="7"/>
        <v>0</v>
      </c>
      <c r="J23" s="4">
        <f t="shared" si="7"/>
        <v>0</v>
      </c>
      <c r="K23" s="4" t="e">
        <f t="shared" si="8"/>
        <v>#DIV/0!</v>
      </c>
    </row>
    <row r="24" spans="1:11" ht="22" customHeight="1" x14ac:dyDescent="0.25">
      <c r="A24" s="5" t="s">
        <v>144</v>
      </c>
      <c r="B24" s="6"/>
      <c r="C24" s="7">
        <f>SUM(C18:C23)</f>
        <v>0</v>
      </c>
      <c r="D24" s="7">
        <f>SUM(D18:D23)</f>
        <v>0</v>
      </c>
      <c r="E24" s="7" t="e">
        <f t="shared" si="5"/>
        <v>#DIV/0!</v>
      </c>
      <c r="F24" s="7">
        <f>SUM(F18:F23)</f>
        <v>0</v>
      </c>
      <c r="G24" s="7">
        <f>SUM(G18:G23)</f>
        <v>0</v>
      </c>
      <c r="H24" s="7" t="e">
        <f t="shared" si="6"/>
        <v>#DIV/0!</v>
      </c>
      <c r="I24" s="7">
        <f>SUM(I18:I23)</f>
        <v>0</v>
      </c>
      <c r="J24" s="7">
        <f>SUM(J18:J23)</f>
        <v>0</v>
      </c>
      <c r="K24" s="7" t="e">
        <f t="shared" si="8"/>
        <v>#DIV/0!</v>
      </c>
    </row>
    <row r="25" spans="1:11" ht="22" customHeight="1" x14ac:dyDescent="0.25"/>
    <row r="26" spans="1:11" ht="22" customHeight="1" x14ac:dyDescent="0.25">
      <c r="A26" s="68" t="s">
        <v>80</v>
      </c>
      <c r="B26" s="59"/>
      <c r="C26" s="59"/>
      <c r="D26" s="59"/>
      <c r="E26" s="59"/>
      <c r="F26" s="59"/>
      <c r="G26" s="59"/>
      <c r="H26" s="59"/>
      <c r="I26" s="59"/>
      <c r="J26" s="59"/>
      <c r="K26" s="60"/>
    </row>
    <row r="27" spans="1:11" ht="22" customHeight="1" x14ac:dyDescent="0.25">
      <c r="A27" s="3" t="s">
        <v>145</v>
      </c>
      <c r="B27" s="4"/>
      <c r="C27" s="4"/>
      <c r="D27" s="4"/>
      <c r="E27" s="4" t="str">
        <f t="shared" ref="E27:E36" si="9">IF(AND(C27&lt;&gt;"",D27&lt;&gt;""),D27/C27,"")</f>
        <v/>
      </c>
      <c r="F27" s="4"/>
      <c r="G27" s="4"/>
      <c r="H27" s="4" t="str">
        <f t="shared" ref="H27:H36" si="10">IF(AND(F27&lt;&gt;"",G27&lt;&gt;""),G27/F27,"")</f>
        <v/>
      </c>
      <c r="I27" s="4">
        <f t="shared" ref="I27:J34" si="11">C27+F27</f>
        <v>0</v>
      </c>
      <c r="J27" s="4">
        <f t="shared" si="11"/>
        <v>0</v>
      </c>
      <c r="K27" s="4" t="e">
        <f t="shared" ref="K27:K36" si="12">IF(AND(I27&lt;&gt;"",J27&lt;&gt;""),J27/I27,"")</f>
        <v>#DIV/0!</v>
      </c>
    </row>
    <row r="28" spans="1:11" ht="22" customHeight="1" x14ac:dyDescent="0.25">
      <c r="A28" s="3" t="s">
        <v>146</v>
      </c>
      <c r="B28" s="4"/>
      <c r="C28" s="4"/>
      <c r="D28" s="4"/>
      <c r="E28" s="4" t="str">
        <f t="shared" si="9"/>
        <v/>
      </c>
      <c r="F28" s="4"/>
      <c r="G28" s="4"/>
      <c r="H28" s="4" t="str">
        <f t="shared" si="10"/>
        <v/>
      </c>
      <c r="I28" s="4">
        <f t="shared" si="11"/>
        <v>0</v>
      </c>
      <c r="J28" s="4">
        <f t="shared" si="11"/>
        <v>0</v>
      </c>
      <c r="K28" s="4" t="e">
        <f t="shared" si="12"/>
        <v>#DIV/0!</v>
      </c>
    </row>
    <row r="29" spans="1:11" ht="22" customHeight="1" x14ac:dyDescent="0.25">
      <c r="A29" s="3" t="s">
        <v>147</v>
      </c>
      <c r="B29" s="4"/>
      <c r="C29" s="4"/>
      <c r="D29" s="4"/>
      <c r="E29" s="4" t="str">
        <f t="shared" si="9"/>
        <v/>
      </c>
      <c r="F29" s="4"/>
      <c r="G29" s="4"/>
      <c r="H29" s="4" t="str">
        <f t="shared" si="10"/>
        <v/>
      </c>
      <c r="I29" s="4">
        <f t="shared" si="11"/>
        <v>0</v>
      </c>
      <c r="J29" s="4">
        <f t="shared" si="11"/>
        <v>0</v>
      </c>
      <c r="K29" s="4" t="e">
        <f t="shared" si="12"/>
        <v>#DIV/0!</v>
      </c>
    </row>
    <row r="30" spans="1:11" ht="22" customHeight="1" x14ac:dyDescent="0.25">
      <c r="A30" s="3" t="s">
        <v>148</v>
      </c>
      <c r="B30" s="4"/>
      <c r="C30" s="4"/>
      <c r="D30" s="4"/>
      <c r="E30" s="4" t="str">
        <f t="shared" si="9"/>
        <v/>
      </c>
      <c r="F30" s="4"/>
      <c r="G30" s="4"/>
      <c r="H30" s="4" t="str">
        <f t="shared" si="10"/>
        <v/>
      </c>
      <c r="I30" s="4">
        <f t="shared" si="11"/>
        <v>0</v>
      </c>
      <c r="J30" s="4">
        <f t="shared" si="11"/>
        <v>0</v>
      </c>
      <c r="K30" s="4" t="e">
        <f t="shared" si="12"/>
        <v>#DIV/0!</v>
      </c>
    </row>
    <row r="31" spans="1:11" ht="22" customHeight="1" x14ac:dyDescent="0.25">
      <c r="A31" s="3" t="s">
        <v>149</v>
      </c>
      <c r="B31" s="4"/>
      <c r="C31" s="4"/>
      <c r="D31" s="4"/>
      <c r="E31" s="4" t="str">
        <f t="shared" si="9"/>
        <v/>
      </c>
      <c r="F31" s="4"/>
      <c r="G31" s="4"/>
      <c r="H31" s="4" t="str">
        <f t="shared" si="10"/>
        <v/>
      </c>
      <c r="I31" s="4">
        <f t="shared" si="11"/>
        <v>0</v>
      </c>
      <c r="J31" s="4">
        <f t="shared" si="11"/>
        <v>0</v>
      </c>
      <c r="K31" s="4" t="e">
        <f t="shared" si="12"/>
        <v>#DIV/0!</v>
      </c>
    </row>
    <row r="32" spans="1:11" ht="22" customHeight="1" x14ac:dyDescent="0.25">
      <c r="A32" s="3" t="s">
        <v>150</v>
      </c>
      <c r="B32" s="4"/>
      <c r="C32" s="4"/>
      <c r="D32" s="4"/>
      <c r="E32" s="4" t="str">
        <f t="shared" si="9"/>
        <v/>
      </c>
      <c r="F32" s="4"/>
      <c r="G32" s="4"/>
      <c r="H32" s="4" t="str">
        <f t="shared" si="10"/>
        <v/>
      </c>
      <c r="I32" s="4">
        <f t="shared" si="11"/>
        <v>0</v>
      </c>
      <c r="J32" s="4">
        <f t="shared" si="11"/>
        <v>0</v>
      </c>
      <c r="K32" s="4" t="e">
        <f t="shared" si="12"/>
        <v>#DIV/0!</v>
      </c>
    </row>
    <row r="33" spans="1:14" ht="22" customHeight="1" x14ac:dyDescent="0.25">
      <c r="A33" s="3" t="s">
        <v>151</v>
      </c>
      <c r="B33" s="4"/>
      <c r="C33" s="4"/>
      <c r="D33" s="4"/>
      <c r="E33" s="4" t="str">
        <f t="shared" si="9"/>
        <v/>
      </c>
      <c r="F33" s="4"/>
      <c r="G33" s="4"/>
      <c r="H33" s="4" t="str">
        <f t="shared" si="10"/>
        <v/>
      </c>
      <c r="I33" s="4">
        <f t="shared" si="11"/>
        <v>0</v>
      </c>
      <c r="J33" s="4">
        <f t="shared" si="11"/>
        <v>0</v>
      </c>
      <c r="K33" s="4" t="e">
        <f t="shared" si="12"/>
        <v>#DIV/0!</v>
      </c>
    </row>
    <row r="34" spans="1:14" ht="22" customHeight="1" x14ac:dyDescent="0.25">
      <c r="A34" s="3" t="s">
        <v>152</v>
      </c>
      <c r="B34" s="4"/>
      <c r="C34" s="4"/>
      <c r="D34" s="4"/>
      <c r="E34" s="4" t="str">
        <f t="shared" si="9"/>
        <v/>
      </c>
      <c r="F34" s="4"/>
      <c r="G34" s="4"/>
      <c r="H34" s="4" t="str">
        <f t="shared" si="10"/>
        <v/>
      </c>
      <c r="I34" s="4">
        <f t="shared" si="11"/>
        <v>0</v>
      </c>
      <c r="J34" s="4">
        <f t="shared" si="11"/>
        <v>0</v>
      </c>
      <c r="K34" s="4" t="e">
        <f t="shared" si="12"/>
        <v>#DIV/0!</v>
      </c>
    </row>
    <row r="35" spans="1:14" ht="22" customHeight="1" x14ac:dyDescent="0.25">
      <c r="A35" s="5" t="s">
        <v>153</v>
      </c>
      <c r="B35" s="6"/>
      <c r="C35" s="7">
        <f>SUM(C27:C34)</f>
        <v>0</v>
      </c>
      <c r="D35" s="7">
        <f>SUM(D27:D34)</f>
        <v>0</v>
      </c>
      <c r="E35" s="7" t="e">
        <f t="shared" si="9"/>
        <v>#DIV/0!</v>
      </c>
      <c r="F35" s="7">
        <f>SUM(F27:F34)</f>
        <v>0</v>
      </c>
      <c r="G35" s="7">
        <f>SUM(G27:G34)</f>
        <v>0</v>
      </c>
      <c r="H35" s="7" t="e">
        <f t="shared" si="10"/>
        <v>#DIV/0!</v>
      </c>
      <c r="I35" s="7">
        <f>SUM(I27:I34)</f>
        <v>0</v>
      </c>
      <c r="J35" s="7">
        <f>SUM(J27:J34)</f>
        <v>0</v>
      </c>
      <c r="K35" s="7" t="e">
        <f t="shared" si="12"/>
        <v>#DIV/0!</v>
      </c>
    </row>
    <row r="36" spans="1:14" ht="22" customHeight="1" x14ac:dyDescent="0.25">
      <c r="A36" s="8" t="s">
        <v>154</v>
      </c>
      <c r="B36" s="9"/>
      <c r="C36" s="10">
        <f>C15+C24+C35</f>
        <v>15</v>
      </c>
      <c r="D36" s="10">
        <f>D15+D24+D35</f>
        <v>14</v>
      </c>
      <c r="E36" s="10">
        <f t="shared" si="9"/>
        <v>0.93333333333333335</v>
      </c>
      <c r="F36" s="10">
        <f>F15+F24+F35</f>
        <v>22</v>
      </c>
      <c r="G36" s="10">
        <f>G15+G24+G35</f>
        <v>21</v>
      </c>
      <c r="H36" s="10">
        <f t="shared" si="10"/>
        <v>0.95454545454545459</v>
      </c>
      <c r="I36" s="10">
        <f>I15+I24+I35</f>
        <v>37</v>
      </c>
      <c r="J36" s="10">
        <f>J15+J24+J35</f>
        <v>35</v>
      </c>
      <c r="K36" s="10">
        <f t="shared" si="12"/>
        <v>0.94594594594594594</v>
      </c>
    </row>
    <row r="39" spans="1:14" ht="30" customHeight="1" x14ac:dyDescent="0.25">
      <c r="A39" s="70" t="s">
        <v>155</v>
      </c>
      <c r="B39" s="55"/>
      <c r="C39" s="55"/>
      <c r="D39" s="55"/>
      <c r="E39" s="55"/>
      <c r="F39" s="55"/>
      <c r="G39" s="55"/>
      <c r="H39" s="55"/>
      <c r="I39" s="55"/>
      <c r="J39" s="55"/>
      <c r="K39" s="55"/>
      <c r="L39" s="55"/>
      <c r="M39" s="55"/>
      <c r="N39" s="55"/>
    </row>
    <row r="40" spans="1:14" ht="6" customHeight="1" x14ac:dyDescent="0.25"/>
    <row r="41" spans="1:14" ht="24" customHeight="1" x14ac:dyDescent="0.25">
      <c r="A41" s="1"/>
      <c r="B41" s="1"/>
      <c r="C41" s="67" t="s">
        <v>52</v>
      </c>
      <c r="D41" s="59"/>
      <c r="E41" s="60"/>
      <c r="F41" s="69" t="s">
        <v>106</v>
      </c>
      <c r="G41" s="59"/>
      <c r="H41" s="60"/>
      <c r="I41" s="73" t="s">
        <v>156</v>
      </c>
      <c r="J41" s="59"/>
      <c r="K41" s="60"/>
      <c r="L41" s="71" t="s">
        <v>47</v>
      </c>
      <c r="M41" s="59"/>
      <c r="N41" s="60"/>
    </row>
    <row r="42" spans="1:14" ht="24" customHeight="1" x14ac:dyDescent="0.25">
      <c r="A42" s="2" t="s">
        <v>50</v>
      </c>
      <c r="B42" s="2" t="s">
        <v>127</v>
      </c>
      <c r="C42" s="2" t="s">
        <v>9</v>
      </c>
      <c r="D42" s="2" t="s">
        <v>10</v>
      </c>
      <c r="E42" s="2" t="s">
        <v>11</v>
      </c>
      <c r="F42" s="2" t="s">
        <v>9</v>
      </c>
      <c r="G42" s="2" t="s">
        <v>10</v>
      </c>
      <c r="H42" s="2" t="s">
        <v>11</v>
      </c>
      <c r="I42" s="2" t="s">
        <v>9</v>
      </c>
      <c r="J42" s="2" t="s">
        <v>10</v>
      </c>
      <c r="K42" s="2" t="s">
        <v>11</v>
      </c>
      <c r="L42" s="2" t="s">
        <v>9</v>
      </c>
      <c r="M42" s="2" t="s">
        <v>10</v>
      </c>
      <c r="N42" s="2" t="s">
        <v>11</v>
      </c>
    </row>
    <row r="43" spans="1:14" ht="22" customHeight="1" x14ac:dyDescent="0.25">
      <c r="A43" s="68" t="s">
        <v>53</v>
      </c>
      <c r="B43" s="59"/>
      <c r="C43" s="59"/>
      <c r="D43" s="59"/>
      <c r="E43" s="59"/>
      <c r="F43" s="59"/>
      <c r="G43" s="59"/>
      <c r="H43" s="59"/>
      <c r="I43" s="59"/>
      <c r="J43" s="59"/>
      <c r="K43" s="59"/>
      <c r="L43" s="59"/>
      <c r="M43" s="59"/>
      <c r="N43" s="60"/>
    </row>
    <row r="44" spans="1:14" ht="22" customHeight="1" x14ac:dyDescent="0.25">
      <c r="A44" s="3" t="s">
        <v>128</v>
      </c>
      <c r="B44" s="4">
        <f t="shared" ref="B44:B52" si="13">B6</f>
        <v>618</v>
      </c>
      <c r="C44" s="4">
        <v>5</v>
      </c>
      <c r="D44" s="4">
        <v>5</v>
      </c>
      <c r="E44" s="4">
        <f t="shared" ref="E44:E53" si="14">IF(AND(C44&lt;&gt;"",D44&lt;&gt;""),D44/C44,"")</f>
        <v>1</v>
      </c>
      <c r="F44" s="4">
        <v>12</v>
      </c>
      <c r="G44" s="4">
        <v>6</v>
      </c>
      <c r="H44" s="4">
        <f t="shared" ref="H44:H53" si="15">IF(AND(F44&lt;&gt;"",G44&lt;&gt;""),G44/F44,"")</f>
        <v>0.5</v>
      </c>
      <c r="I44" s="4">
        <v>2</v>
      </c>
      <c r="J44" s="4">
        <v>0</v>
      </c>
      <c r="K44" s="4">
        <f t="shared" ref="K44:K53" si="16">IF(AND(I44&lt;&gt;"",J44&lt;&gt;""),J44/I44,"")</f>
        <v>0</v>
      </c>
      <c r="L44" s="4">
        <f t="shared" ref="L44:L52" si="17">C44+F44+I44</f>
        <v>19</v>
      </c>
      <c r="M44" s="4">
        <f t="shared" ref="M44:M52" si="18">D44+G44+J44</f>
        <v>11</v>
      </c>
      <c r="N44" s="4">
        <f t="shared" ref="N44:N53" si="19">IF(AND(L44&lt;&gt;"",M44&lt;&gt;""),M44/L44,"")</f>
        <v>0.57894736842105265</v>
      </c>
    </row>
    <row r="45" spans="1:14" ht="22" customHeight="1" x14ac:dyDescent="0.25">
      <c r="A45" s="3" t="s">
        <v>129</v>
      </c>
      <c r="B45" s="4">
        <v>625</v>
      </c>
      <c r="C45" s="4">
        <v>17</v>
      </c>
      <c r="D45" s="4">
        <v>16</v>
      </c>
      <c r="E45" s="4">
        <f t="shared" si="14"/>
        <v>0.94117647058823528</v>
      </c>
      <c r="F45" s="4">
        <v>17</v>
      </c>
      <c r="G45" s="4">
        <v>13</v>
      </c>
      <c r="H45" s="4">
        <f t="shared" si="15"/>
        <v>0.76470588235294112</v>
      </c>
      <c r="I45" s="4">
        <v>19</v>
      </c>
      <c r="J45" s="4"/>
      <c r="K45" s="4" t="str">
        <f t="shared" si="16"/>
        <v/>
      </c>
      <c r="L45" s="4">
        <f t="shared" si="17"/>
        <v>53</v>
      </c>
      <c r="M45" s="4">
        <f t="shared" si="18"/>
        <v>29</v>
      </c>
      <c r="N45" s="4">
        <f t="shared" si="19"/>
        <v>0.54716981132075471</v>
      </c>
    </row>
    <row r="46" spans="1:14" ht="22" customHeight="1" x14ac:dyDescent="0.25">
      <c r="A46" s="3" t="s">
        <v>130</v>
      </c>
      <c r="B46" s="4">
        <f t="shared" si="13"/>
        <v>0</v>
      </c>
      <c r="C46" s="4"/>
      <c r="D46" s="4"/>
      <c r="E46" s="4" t="str">
        <f t="shared" si="14"/>
        <v/>
      </c>
      <c r="F46" s="4"/>
      <c r="G46" s="4"/>
      <c r="H46" s="4" t="str">
        <f t="shared" si="15"/>
        <v/>
      </c>
      <c r="I46" s="4"/>
      <c r="J46" s="4"/>
      <c r="K46" s="4" t="str">
        <f t="shared" si="16"/>
        <v/>
      </c>
      <c r="L46" s="4">
        <f t="shared" si="17"/>
        <v>0</v>
      </c>
      <c r="M46" s="4">
        <f t="shared" si="18"/>
        <v>0</v>
      </c>
      <c r="N46" s="4" t="e">
        <f t="shared" si="19"/>
        <v>#DIV/0!</v>
      </c>
    </row>
    <row r="47" spans="1:14" ht="22" customHeight="1" x14ac:dyDescent="0.25">
      <c r="A47" s="3" t="s">
        <v>131</v>
      </c>
      <c r="B47" s="4">
        <f t="shared" si="13"/>
        <v>0</v>
      </c>
      <c r="C47" s="4"/>
      <c r="D47" s="4"/>
      <c r="E47" s="4" t="str">
        <f t="shared" si="14"/>
        <v/>
      </c>
      <c r="F47" s="4"/>
      <c r="G47" s="4"/>
      <c r="H47" s="4" t="str">
        <f t="shared" si="15"/>
        <v/>
      </c>
      <c r="I47" s="4"/>
      <c r="J47" s="4"/>
      <c r="K47" s="4" t="str">
        <f t="shared" si="16"/>
        <v/>
      </c>
      <c r="L47" s="4">
        <f t="shared" si="17"/>
        <v>0</v>
      </c>
      <c r="M47" s="4">
        <f t="shared" si="18"/>
        <v>0</v>
      </c>
      <c r="N47" s="4" t="e">
        <f t="shared" si="19"/>
        <v>#DIV/0!</v>
      </c>
    </row>
    <row r="48" spans="1:14" ht="22" customHeight="1" x14ac:dyDescent="0.25">
      <c r="A48" s="3" t="s">
        <v>132</v>
      </c>
      <c r="B48" s="4">
        <f t="shared" si="13"/>
        <v>0</v>
      </c>
      <c r="C48" s="4"/>
      <c r="D48" s="4"/>
      <c r="E48" s="4" t="str">
        <f t="shared" si="14"/>
        <v/>
      </c>
      <c r="F48" s="4"/>
      <c r="G48" s="4"/>
      <c r="H48" s="4" t="str">
        <f t="shared" si="15"/>
        <v/>
      </c>
      <c r="I48" s="4"/>
      <c r="J48" s="4"/>
      <c r="K48" s="4" t="str">
        <f t="shared" si="16"/>
        <v/>
      </c>
      <c r="L48" s="4">
        <f t="shared" si="17"/>
        <v>0</v>
      </c>
      <c r="M48" s="4">
        <f t="shared" si="18"/>
        <v>0</v>
      </c>
      <c r="N48" s="4" t="e">
        <f t="shared" si="19"/>
        <v>#DIV/0!</v>
      </c>
    </row>
    <row r="49" spans="1:14" ht="22" customHeight="1" x14ac:dyDescent="0.25">
      <c r="A49" s="3" t="s">
        <v>133</v>
      </c>
      <c r="B49" s="4">
        <f t="shared" si="13"/>
        <v>0</v>
      </c>
      <c r="C49" s="4"/>
      <c r="D49" s="4"/>
      <c r="E49" s="4" t="str">
        <f t="shared" si="14"/>
        <v/>
      </c>
      <c r="F49" s="4"/>
      <c r="G49" s="4"/>
      <c r="H49" s="4" t="str">
        <f t="shared" si="15"/>
        <v/>
      </c>
      <c r="I49" s="4"/>
      <c r="J49" s="4"/>
      <c r="K49" s="4" t="str">
        <f t="shared" si="16"/>
        <v/>
      </c>
      <c r="L49" s="4">
        <f t="shared" si="17"/>
        <v>0</v>
      </c>
      <c r="M49" s="4">
        <f t="shared" si="18"/>
        <v>0</v>
      </c>
      <c r="N49" s="4" t="e">
        <f t="shared" si="19"/>
        <v>#DIV/0!</v>
      </c>
    </row>
    <row r="50" spans="1:14" ht="22" customHeight="1" x14ac:dyDescent="0.25">
      <c r="A50" s="3" t="s">
        <v>134</v>
      </c>
      <c r="B50" s="4">
        <f t="shared" si="13"/>
        <v>0</v>
      </c>
      <c r="C50" s="4"/>
      <c r="D50" s="4"/>
      <c r="E50" s="4" t="str">
        <f t="shared" si="14"/>
        <v/>
      </c>
      <c r="F50" s="4"/>
      <c r="G50" s="4"/>
      <c r="H50" s="4" t="str">
        <f t="shared" si="15"/>
        <v/>
      </c>
      <c r="I50" s="4"/>
      <c r="J50" s="4"/>
      <c r="K50" s="4" t="str">
        <f t="shared" si="16"/>
        <v/>
      </c>
      <c r="L50" s="4">
        <f t="shared" si="17"/>
        <v>0</v>
      </c>
      <c r="M50" s="4">
        <f t="shared" si="18"/>
        <v>0</v>
      </c>
      <c r="N50" s="4" t="e">
        <f t="shared" si="19"/>
        <v>#DIV/0!</v>
      </c>
    </row>
    <row r="51" spans="1:14" ht="22" customHeight="1" x14ac:dyDescent="0.25">
      <c r="A51" s="3" t="s">
        <v>135</v>
      </c>
      <c r="B51" s="4">
        <f t="shared" si="13"/>
        <v>0</v>
      </c>
      <c r="C51" s="4"/>
      <c r="D51" s="4"/>
      <c r="E51" s="4" t="str">
        <f t="shared" si="14"/>
        <v/>
      </c>
      <c r="F51" s="4"/>
      <c r="G51" s="4"/>
      <c r="H51" s="4" t="str">
        <f t="shared" si="15"/>
        <v/>
      </c>
      <c r="I51" s="4"/>
      <c r="J51" s="4"/>
      <c r="K51" s="4" t="str">
        <f t="shared" si="16"/>
        <v/>
      </c>
      <c r="L51" s="4">
        <f t="shared" si="17"/>
        <v>0</v>
      </c>
      <c r="M51" s="4">
        <f t="shared" si="18"/>
        <v>0</v>
      </c>
      <c r="N51" s="4" t="e">
        <f t="shared" si="19"/>
        <v>#DIV/0!</v>
      </c>
    </row>
    <row r="52" spans="1:14" ht="22" customHeight="1" x14ac:dyDescent="0.25">
      <c r="A52" s="3" t="s">
        <v>136</v>
      </c>
      <c r="B52" s="4">
        <f t="shared" si="13"/>
        <v>0</v>
      </c>
      <c r="C52" s="4"/>
      <c r="D52" s="4"/>
      <c r="E52" s="4" t="str">
        <f t="shared" si="14"/>
        <v/>
      </c>
      <c r="F52" s="4"/>
      <c r="G52" s="4"/>
      <c r="H52" s="4" t="str">
        <f t="shared" si="15"/>
        <v/>
      </c>
      <c r="I52" s="4"/>
      <c r="J52" s="4"/>
      <c r="K52" s="4" t="str">
        <f t="shared" si="16"/>
        <v/>
      </c>
      <c r="L52" s="4">
        <f t="shared" si="17"/>
        <v>0</v>
      </c>
      <c r="M52" s="4">
        <f t="shared" si="18"/>
        <v>0</v>
      </c>
      <c r="N52" s="4" t="e">
        <f t="shared" si="19"/>
        <v>#DIV/0!</v>
      </c>
    </row>
    <row r="53" spans="1:14" ht="22" customHeight="1" x14ac:dyDescent="0.25">
      <c r="A53" s="5" t="s">
        <v>137</v>
      </c>
      <c r="B53" s="6"/>
      <c r="C53" s="7">
        <f>SUM(C44:C52)</f>
        <v>22</v>
      </c>
      <c r="D53" s="7">
        <f>SUM(D44:D52)</f>
        <v>21</v>
      </c>
      <c r="E53" s="7">
        <f t="shared" si="14"/>
        <v>0.95454545454545459</v>
      </c>
      <c r="F53" s="7">
        <f>SUM(F44:F52)</f>
        <v>29</v>
      </c>
      <c r="G53" s="7">
        <f>SUM(G44:G52)</f>
        <v>19</v>
      </c>
      <c r="H53" s="7">
        <f t="shared" si="15"/>
        <v>0.65517241379310343</v>
      </c>
      <c r="I53" s="7">
        <f>SUM(I44:I52)</f>
        <v>21</v>
      </c>
      <c r="J53" s="7">
        <f>SUM(J44:J52)</f>
        <v>0</v>
      </c>
      <c r="K53" s="7">
        <f t="shared" si="16"/>
        <v>0</v>
      </c>
      <c r="L53" s="7">
        <f>SUM(L44:L52)</f>
        <v>72</v>
      </c>
      <c r="M53" s="7">
        <f>SUM(M44:M52)</f>
        <v>40</v>
      </c>
      <c r="N53" s="7">
        <f t="shared" si="19"/>
        <v>0.55555555555555558</v>
      </c>
    </row>
    <row r="54" spans="1:14" ht="22" customHeight="1" x14ac:dyDescent="0.25"/>
    <row r="55" spans="1:14" ht="22" customHeight="1" x14ac:dyDescent="0.25">
      <c r="A55" s="68" t="s">
        <v>73</v>
      </c>
      <c r="B55" s="59"/>
      <c r="C55" s="59"/>
      <c r="D55" s="59"/>
      <c r="E55" s="59"/>
      <c r="F55" s="59"/>
      <c r="G55" s="59"/>
      <c r="H55" s="59"/>
      <c r="I55" s="59"/>
      <c r="J55" s="59"/>
      <c r="K55" s="59"/>
      <c r="L55" s="59"/>
      <c r="M55" s="59"/>
      <c r="N55" s="60"/>
    </row>
    <row r="56" spans="1:14" ht="22" customHeight="1" x14ac:dyDescent="0.25">
      <c r="A56" s="3" t="s">
        <v>138</v>
      </c>
      <c r="B56" s="4">
        <f t="shared" ref="B56:B61" si="20">B18</f>
        <v>0</v>
      </c>
      <c r="C56" s="4"/>
      <c r="D56" s="4"/>
      <c r="E56" s="4" t="str">
        <f t="shared" ref="E56:E62" si="21">IF(AND(C56&lt;&gt;"",D56&lt;&gt;""),D56/C56,"")</f>
        <v/>
      </c>
      <c r="F56" s="4"/>
      <c r="G56" s="4"/>
      <c r="H56" s="4" t="str">
        <f t="shared" ref="H56:H62" si="22">IF(AND(F56&lt;&gt;"",G56&lt;&gt;""),G56/F56,"")</f>
        <v/>
      </c>
      <c r="I56" s="4"/>
      <c r="J56" s="4"/>
      <c r="K56" s="4" t="str">
        <f t="shared" ref="K56:K62" si="23">IF(AND(I56&lt;&gt;"",J56&lt;&gt;""),J56/I56,"")</f>
        <v/>
      </c>
      <c r="L56" s="4">
        <f t="shared" ref="L56:M61" si="24">C56+F56+I56</f>
        <v>0</v>
      </c>
      <c r="M56" s="4">
        <f t="shared" si="24"/>
        <v>0</v>
      </c>
      <c r="N56" s="4" t="e">
        <f t="shared" ref="N56:N62" si="25">IF(AND(L56&lt;&gt;"",M56&lt;&gt;""),M56/L56,"")</f>
        <v>#DIV/0!</v>
      </c>
    </row>
    <row r="57" spans="1:14" ht="22" customHeight="1" x14ac:dyDescent="0.25">
      <c r="A57" s="3" t="s">
        <v>139</v>
      </c>
      <c r="B57" s="4">
        <f t="shared" si="20"/>
        <v>0</v>
      </c>
      <c r="C57" s="4"/>
      <c r="D57" s="4"/>
      <c r="E57" s="4" t="str">
        <f t="shared" si="21"/>
        <v/>
      </c>
      <c r="F57" s="4"/>
      <c r="G57" s="4"/>
      <c r="H57" s="4" t="str">
        <f t="shared" si="22"/>
        <v/>
      </c>
      <c r="I57" s="4"/>
      <c r="J57" s="4"/>
      <c r="K57" s="4" t="str">
        <f t="shared" si="23"/>
        <v/>
      </c>
      <c r="L57" s="4">
        <f t="shared" si="24"/>
        <v>0</v>
      </c>
      <c r="M57" s="4">
        <f t="shared" si="24"/>
        <v>0</v>
      </c>
      <c r="N57" s="4" t="e">
        <f t="shared" si="25"/>
        <v>#DIV/0!</v>
      </c>
    </row>
    <row r="58" spans="1:14" ht="22" customHeight="1" x14ac:dyDescent="0.25">
      <c r="A58" s="3" t="s">
        <v>140</v>
      </c>
      <c r="B58" s="4">
        <f t="shared" si="20"/>
        <v>0</v>
      </c>
      <c r="C58" s="4"/>
      <c r="D58" s="4"/>
      <c r="E58" s="4" t="str">
        <f t="shared" si="21"/>
        <v/>
      </c>
      <c r="F58" s="4"/>
      <c r="G58" s="4"/>
      <c r="H58" s="4" t="str">
        <f t="shared" si="22"/>
        <v/>
      </c>
      <c r="I58" s="4"/>
      <c r="J58" s="4"/>
      <c r="K58" s="4" t="str">
        <f t="shared" si="23"/>
        <v/>
      </c>
      <c r="L58" s="4">
        <f t="shared" si="24"/>
        <v>0</v>
      </c>
      <c r="M58" s="4">
        <f t="shared" si="24"/>
        <v>0</v>
      </c>
      <c r="N58" s="4" t="e">
        <f t="shared" si="25"/>
        <v>#DIV/0!</v>
      </c>
    </row>
    <row r="59" spans="1:14" ht="22" customHeight="1" x14ac:dyDescent="0.25">
      <c r="A59" s="3" t="s">
        <v>141</v>
      </c>
      <c r="B59" s="4">
        <f t="shared" si="20"/>
        <v>0</v>
      </c>
      <c r="C59" s="4"/>
      <c r="D59" s="4"/>
      <c r="E59" s="4" t="str">
        <f t="shared" si="21"/>
        <v/>
      </c>
      <c r="F59" s="4"/>
      <c r="G59" s="4"/>
      <c r="H59" s="4" t="str">
        <f t="shared" si="22"/>
        <v/>
      </c>
      <c r="I59" s="4"/>
      <c r="J59" s="4"/>
      <c r="K59" s="4" t="str">
        <f t="shared" si="23"/>
        <v/>
      </c>
      <c r="L59" s="4">
        <f t="shared" si="24"/>
        <v>0</v>
      </c>
      <c r="M59" s="4">
        <f t="shared" si="24"/>
        <v>0</v>
      </c>
      <c r="N59" s="4" t="e">
        <f t="shared" si="25"/>
        <v>#DIV/0!</v>
      </c>
    </row>
    <row r="60" spans="1:14" ht="22" customHeight="1" x14ac:dyDescent="0.25">
      <c r="A60" s="3" t="s">
        <v>142</v>
      </c>
      <c r="B60" s="4">
        <f t="shared" si="20"/>
        <v>0</v>
      </c>
      <c r="C60" s="4"/>
      <c r="D60" s="4"/>
      <c r="E60" s="4" t="str">
        <f t="shared" si="21"/>
        <v/>
      </c>
      <c r="F60" s="4"/>
      <c r="G60" s="4"/>
      <c r="H60" s="4" t="str">
        <f t="shared" si="22"/>
        <v/>
      </c>
      <c r="I60" s="4"/>
      <c r="J60" s="4"/>
      <c r="K60" s="4" t="str">
        <f t="shared" si="23"/>
        <v/>
      </c>
      <c r="L60" s="4">
        <f t="shared" si="24"/>
        <v>0</v>
      </c>
      <c r="M60" s="4">
        <f t="shared" si="24"/>
        <v>0</v>
      </c>
      <c r="N60" s="4" t="e">
        <f t="shared" si="25"/>
        <v>#DIV/0!</v>
      </c>
    </row>
    <row r="61" spans="1:14" ht="22" customHeight="1" x14ac:dyDescent="0.25">
      <c r="A61" s="3" t="s">
        <v>143</v>
      </c>
      <c r="B61" s="4">
        <f t="shared" si="20"/>
        <v>0</v>
      </c>
      <c r="C61" s="4"/>
      <c r="D61" s="4"/>
      <c r="E61" s="4" t="str">
        <f t="shared" si="21"/>
        <v/>
      </c>
      <c r="F61" s="4"/>
      <c r="G61" s="4"/>
      <c r="H61" s="4" t="str">
        <f t="shared" si="22"/>
        <v/>
      </c>
      <c r="I61" s="4"/>
      <c r="J61" s="4"/>
      <c r="K61" s="4" t="str">
        <f t="shared" si="23"/>
        <v/>
      </c>
      <c r="L61" s="4">
        <f t="shared" si="24"/>
        <v>0</v>
      </c>
      <c r="M61" s="4">
        <f t="shared" si="24"/>
        <v>0</v>
      </c>
      <c r="N61" s="4" t="e">
        <f t="shared" si="25"/>
        <v>#DIV/0!</v>
      </c>
    </row>
    <row r="62" spans="1:14" ht="22" customHeight="1" x14ac:dyDescent="0.25">
      <c r="A62" s="5" t="s">
        <v>144</v>
      </c>
      <c r="B62" s="6"/>
      <c r="C62" s="7">
        <f>SUM(C56:C61)</f>
        <v>0</v>
      </c>
      <c r="D62" s="7">
        <f>SUM(D56:D61)</f>
        <v>0</v>
      </c>
      <c r="E62" s="7" t="e">
        <f t="shared" si="21"/>
        <v>#DIV/0!</v>
      </c>
      <c r="F62" s="7">
        <f>SUM(F56:F61)</f>
        <v>0</v>
      </c>
      <c r="G62" s="7">
        <f>SUM(G56:G61)</f>
        <v>0</v>
      </c>
      <c r="H62" s="7" t="e">
        <f t="shared" si="22"/>
        <v>#DIV/0!</v>
      </c>
      <c r="I62" s="7">
        <f>SUM(I56:I61)</f>
        <v>0</v>
      </c>
      <c r="J62" s="7">
        <f>SUM(J56:J61)</f>
        <v>0</v>
      </c>
      <c r="K62" s="7" t="e">
        <f t="shared" si="23"/>
        <v>#DIV/0!</v>
      </c>
      <c r="L62" s="7">
        <f>SUM(L56:L61)</f>
        <v>0</v>
      </c>
      <c r="M62" s="7">
        <f>SUM(M56:M61)</f>
        <v>0</v>
      </c>
      <c r="N62" s="7" t="e">
        <f t="shared" si="25"/>
        <v>#DIV/0!</v>
      </c>
    </row>
    <row r="63" spans="1:14" ht="22" customHeight="1" x14ac:dyDescent="0.25"/>
    <row r="64" spans="1:14" ht="22" customHeight="1" x14ac:dyDescent="0.25">
      <c r="A64" s="68" t="s">
        <v>80</v>
      </c>
      <c r="B64" s="59"/>
      <c r="C64" s="59"/>
      <c r="D64" s="59"/>
      <c r="E64" s="59"/>
      <c r="F64" s="59"/>
      <c r="G64" s="59"/>
      <c r="H64" s="59"/>
      <c r="I64" s="59"/>
      <c r="J64" s="59"/>
      <c r="K64" s="59"/>
      <c r="L64" s="59"/>
      <c r="M64" s="59"/>
      <c r="N64" s="60"/>
    </row>
    <row r="65" spans="1:14" ht="22" customHeight="1" x14ac:dyDescent="0.25">
      <c r="A65" s="3" t="s">
        <v>145</v>
      </c>
      <c r="B65" s="4">
        <f t="shared" ref="B65:B72" si="26">B27</f>
        <v>0</v>
      </c>
      <c r="C65" s="4"/>
      <c r="D65" s="4"/>
      <c r="E65" s="4" t="str">
        <f t="shared" ref="E65:E74" si="27">IF(AND(C65&lt;&gt;"",D65&lt;&gt;""),D65/C65,"")</f>
        <v/>
      </c>
      <c r="F65" s="4"/>
      <c r="G65" s="4"/>
      <c r="H65" s="4" t="str">
        <f t="shared" ref="H65:H74" si="28">IF(AND(F65&lt;&gt;"",G65&lt;&gt;""),G65/F65,"")</f>
        <v/>
      </c>
      <c r="I65" s="4"/>
      <c r="J65" s="4"/>
      <c r="K65" s="4" t="str">
        <f t="shared" ref="K65:K74" si="29">IF(AND(I65&lt;&gt;"",J65&lt;&gt;""),J65/I65,"")</f>
        <v/>
      </c>
      <c r="L65" s="4">
        <f t="shared" ref="L65:M72" si="30">C65+F65+I65</f>
        <v>0</v>
      </c>
      <c r="M65" s="4">
        <f t="shared" si="30"/>
        <v>0</v>
      </c>
      <c r="N65" s="4" t="e">
        <f t="shared" ref="N65:N74" si="31">IF(AND(L65&lt;&gt;"",M65&lt;&gt;""),M65/L65,"")</f>
        <v>#DIV/0!</v>
      </c>
    </row>
    <row r="66" spans="1:14" ht="22" customHeight="1" x14ac:dyDescent="0.25">
      <c r="A66" s="3" t="s">
        <v>146</v>
      </c>
      <c r="B66" s="4">
        <f t="shared" si="26"/>
        <v>0</v>
      </c>
      <c r="C66" s="4"/>
      <c r="D66" s="4"/>
      <c r="E66" s="4" t="str">
        <f t="shared" si="27"/>
        <v/>
      </c>
      <c r="F66" s="4"/>
      <c r="G66" s="4"/>
      <c r="H66" s="4" t="str">
        <f t="shared" si="28"/>
        <v/>
      </c>
      <c r="I66" s="4"/>
      <c r="J66" s="4"/>
      <c r="K66" s="4" t="str">
        <f t="shared" si="29"/>
        <v/>
      </c>
      <c r="L66" s="4">
        <f t="shared" si="30"/>
        <v>0</v>
      </c>
      <c r="M66" s="4">
        <f t="shared" si="30"/>
        <v>0</v>
      </c>
      <c r="N66" s="4" t="e">
        <f t="shared" si="31"/>
        <v>#DIV/0!</v>
      </c>
    </row>
    <row r="67" spans="1:14" ht="22" customHeight="1" x14ac:dyDescent="0.25">
      <c r="A67" s="3" t="s">
        <v>147</v>
      </c>
      <c r="B67" s="4">
        <f t="shared" si="26"/>
        <v>0</v>
      </c>
      <c r="C67" s="4"/>
      <c r="D67" s="4"/>
      <c r="E67" s="4" t="str">
        <f t="shared" si="27"/>
        <v/>
      </c>
      <c r="F67" s="4"/>
      <c r="G67" s="4"/>
      <c r="H67" s="4" t="str">
        <f t="shared" si="28"/>
        <v/>
      </c>
      <c r="I67" s="4"/>
      <c r="J67" s="4"/>
      <c r="K67" s="4" t="str">
        <f t="shared" si="29"/>
        <v/>
      </c>
      <c r="L67" s="4">
        <f t="shared" si="30"/>
        <v>0</v>
      </c>
      <c r="M67" s="4">
        <f t="shared" si="30"/>
        <v>0</v>
      </c>
      <c r="N67" s="4" t="e">
        <f t="shared" si="31"/>
        <v>#DIV/0!</v>
      </c>
    </row>
    <row r="68" spans="1:14" ht="22" customHeight="1" x14ac:dyDescent="0.25">
      <c r="A68" s="3" t="s">
        <v>148</v>
      </c>
      <c r="B68" s="4">
        <f t="shared" si="26"/>
        <v>0</v>
      </c>
      <c r="C68" s="4"/>
      <c r="D68" s="4"/>
      <c r="E68" s="4" t="str">
        <f t="shared" si="27"/>
        <v/>
      </c>
      <c r="F68" s="4"/>
      <c r="G68" s="4"/>
      <c r="H68" s="4" t="str">
        <f t="shared" si="28"/>
        <v/>
      </c>
      <c r="I68" s="4"/>
      <c r="J68" s="4"/>
      <c r="K68" s="4" t="str">
        <f t="shared" si="29"/>
        <v/>
      </c>
      <c r="L68" s="4">
        <f t="shared" si="30"/>
        <v>0</v>
      </c>
      <c r="M68" s="4">
        <f t="shared" si="30"/>
        <v>0</v>
      </c>
      <c r="N68" s="4" t="e">
        <f t="shared" si="31"/>
        <v>#DIV/0!</v>
      </c>
    </row>
    <row r="69" spans="1:14" ht="22" customHeight="1" x14ac:dyDescent="0.25">
      <c r="A69" s="3" t="s">
        <v>149</v>
      </c>
      <c r="B69" s="4">
        <f t="shared" si="26"/>
        <v>0</v>
      </c>
      <c r="C69" s="4"/>
      <c r="D69" s="4"/>
      <c r="E69" s="4" t="str">
        <f t="shared" si="27"/>
        <v/>
      </c>
      <c r="F69" s="4"/>
      <c r="G69" s="4"/>
      <c r="H69" s="4" t="str">
        <f t="shared" si="28"/>
        <v/>
      </c>
      <c r="I69" s="4"/>
      <c r="J69" s="4"/>
      <c r="K69" s="4" t="str">
        <f t="shared" si="29"/>
        <v/>
      </c>
      <c r="L69" s="4">
        <f t="shared" si="30"/>
        <v>0</v>
      </c>
      <c r="M69" s="4">
        <f t="shared" si="30"/>
        <v>0</v>
      </c>
      <c r="N69" s="4" t="e">
        <f t="shared" si="31"/>
        <v>#DIV/0!</v>
      </c>
    </row>
    <row r="70" spans="1:14" ht="22" customHeight="1" x14ac:dyDescent="0.25">
      <c r="A70" s="3" t="s">
        <v>150</v>
      </c>
      <c r="B70" s="4">
        <f t="shared" si="26"/>
        <v>0</v>
      </c>
      <c r="C70" s="4"/>
      <c r="D70" s="4"/>
      <c r="E70" s="4" t="str">
        <f t="shared" si="27"/>
        <v/>
      </c>
      <c r="F70" s="4"/>
      <c r="G70" s="4"/>
      <c r="H70" s="4" t="str">
        <f t="shared" si="28"/>
        <v/>
      </c>
      <c r="I70" s="4"/>
      <c r="J70" s="4"/>
      <c r="K70" s="4" t="str">
        <f t="shared" si="29"/>
        <v/>
      </c>
      <c r="L70" s="4">
        <f t="shared" si="30"/>
        <v>0</v>
      </c>
      <c r="M70" s="4">
        <f t="shared" si="30"/>
        <v>0</v>
      </c>
      <c r="N70" s="4" t="e">
        <f t="shared" si="31"/>
        <v>#DIV/0!</v>
      </c>
    </row>
    <row r="71" spans="1:14" ht="22" customHeight="1" x14ac:dyDescent="0.25">
      <c r="A71" s="3" t="s">
        <v>151</v>
      </c>
      <c r="B71" s="4">
        <f t="shared" si="26"/>
        <v>0</v>
      </c>
      <c r="C71" s="4"/>
      <c r="D71" s="4"/>
      <c r="E71" s="4" t="str">
        <f t="shared" si="27"/>
        <v/>
      </c>
      <c r="F71" s="4"/>
      <c r="G71" s="4"/>
      <c r="H71" s="4" t="str">
        <f t="shared" si="28"/>
        <v/>
      </c>
      <c r="I71" s="4"/>
      <c r="J71" s="4"/>
      <c r="K71" s="4" t="str">
        <f t="shared" si="29"/>
        <v/>
      </c>
      <c r="L71" s="4">
        <f t="shared" si="30"/>
        <v>0</v>
      </c>
      <c r="M71" s="4">
        <f t="shared" si="30"/>
        <v>0</v>
      </c>
      <c r="N71" s="4" t="e">
        <f t="shared" si="31"/>
        <v>#DIV/0!</v>
      </c>
    </row>
    <row r="72" spans="1:14" ht="22" customHeight="1" x14ac:dyDescent="0.25">
      <c r="A72" s="3" t="s">
        <v>152</v>
      </c>
      <c r="B72" s="4">
        <f t="shared" si="26"/>
        <v>0</v>
      </c>
      <c r="C72" s="4"/>
      <c r="D72" s="4"/>
      <c r="E72" s="4" t="str">
        <f t="shared" si="27"/>
        <v/>
      </c>
      <c r="F72" s="4"/>
      <c r="G72" s="4"/>
      <c r="H72" s="4" t="str">
        <f t="shared" si="28"/>
        <v/>
      </c>
      <c r="I72" s="4"/>
      <c r="J72" s="4"/>
      <c r="K72" s="4" t="str">
        <f t="shared" si="29"/>
        <v/>
      </c>
      <c r="L72" s="4">
        <f t="shared" si="30"/>
        <v>0</v>
      </c>
      <c r="M72" s="4">
        <f t="shared" si="30"/>
        <v>0</v>
      </c>
      <c r="N72" s="4" t="e">
        <f t="shared" si="31"/>
        <v>#DIV/0!</v>
      </c>
    </row>
    <row r="73" spans="1:14" ht="22" customHeight="1" x14ac:dyDescent="0.25">
      <c r="A73" s="5" t="s">
        <v>153</v>
      </c>
      <c r="B73" s="6"/>
      <c r="C73" s="7">
        <f>SUM(C65:C72)</f>
        <v>0</v>
      </c>
      <c r="D73" s="7">
        <f>SUM(D65:D72)</f>
        <v>0</v>
      </c>
      <c r="E73" s="7" t="e">
        <f t="shared" si="27"/>
        <v>#DIV/0!</v>
      </c>
      <c r="F73" s="7">
        <f>SUM(F65:F72)</f>
        <v>0</v>
      </c>
      <c r="G73" s="7">
        <f>SUM(G65:G72)</f>
        <v>0</v>
      </c>
      <c r="H73" s="7" t="e">
        <f t="shared" si="28"/>
        <v>#DIV/0!</v>
      </c>
      <c r="I73" s="7">
        <f>SUM(I65:I72)</f>
        <v>0</v>
      </c>
      <c r="J73" s="7">
        <f>SUM(J65:J72)</f>
        <v>0</v>
      </c>
      <c r="K73" s="7" t="e">
        <f t="shared" si="29"/>
        <v>#DIV/0!</v>
      </c>
      <c r="L73" s="7">
        <f>SUM(L65:L72)</f>
        <v>0</v>
      </c>
      <c r="M73" s="7">
        <f>SUM(M65:M72)</f>
        <v>0</v>
      </c>
      <c r="N73" s="7" t="e">
        <f t="shared" si="31"/>
        <v>#DIV/0!</v>
      </c>
    </row>
    <row r="74" spans="1:14" ht="22" customHeight="1" x14ac:dyDescent="0.25">
      <c r="A74" s="8" t="s">
        <v>154</v>
      </c>
      <c r="B74" s="9"/>
      <c r="C74" s="10">
        <f>C53+C62+C73</f>
        <v>22</v>
      </c>
      <c r="D74" s="10">
        <f>D53+D62+D73</f>
        <v>21</v>
      </c>
      <c r="E74" s="10">
        <f t="shared" si="27"/>
        <v>0.95454545454545459</v>
      </c>
      <c r="F74" s="10">
        <f>F53+F62+F73</f>
        <v>29</v>
      </c>
      <c r="G74" s="10">
        <f>G53+G62+G73</f>
        <v>19</v>
      </c>
      <c r="H74" s="10">
        <f t="shared" si="28"/>
        <v>0.65517241379310343</v>
      </c>
      <c r="I74" s="10">
        <f>I53+I62+I73</f>
        <v>21</v>
      </c>
      <c r="J74" s="10">
        <f>J53+J62+J73</f>
        <v>0</v>
      </c>
      <c r="K74" s="10">
        <f t="shared" si="29"/>
        <v>0</v>
      </c>
      <c r="L74" s="10">
        <f>L53+L62+L73</f>
        <v>72</v>
      </c>
      <c r="M74" s="10">
        <f>M53+M62+M73</f>
        <v>40</v>
      </c>
      <c r="N74" s="10">
        <f t="shared" si="31"/>
        <v>0.55555555555555558</v>
      </c>
    </row>
    <row r="77" spans="1:14" ht="30" customHeight="1" x14ac:dyDescent="0.25">
      <c r="A77" s="70" t="s">
        <v>157</v>
      </c>
      <c r="B77" s="55"/>
      <c r="C77" s="55"/>
      <c r="D77" s="55"/>
      <c r="E77" s="55"/>
      <c r="F77" s="55"/>
      <c r="G77" s="55"/>
      <c r="H77" s="55"/>
      <c r="I77" s="55"/>
      <c r="J77" s="55"/>
      <c r="K77" s="55"/>
    </row>
    <row r="78" spans="1:14" ht="6" customHeight="1" x14ac:dyDescent="0.25"/>
    <row r="79" spans="1:14" ht="24" customHeight="1" x14ac:dyDescent="0.25">
      <c r="A79" s="1"/>
      <c r="B79" s="1"/>
      <c r="C79" s="67" t="s">
        <v>158</v>
      </c>
      <c r="D79" s="59"/>
      <c r="E79" s="60"/>
      <c r="F79" s="69" t="s">
        <v>155</v>
      </c>
      <c r="G79" s="59"/>
      <c r="H79" s="60"/>
      <c r="I79" s="71" t="s">
        <v>113</v>
      </c>
      <c r="J79" s="59"/>
      <c r="K79" s="60"/>
    </row>
    <row r="80" spans="1:14" ht="24" customHeight="1" x14ac:dyDescent="0.25">
      <c r="A80" s="2" t="s">
        <v>50</v>
      </c>
      <c r="B80" s="2" t="s">
        <v>127</v>
      </c>
      <c r="C80" s="2" t="s">
        <v>9</v>
      </c>
      <c r="D80" s="2" t="s">
        <v>10</v>
      </c>
      <c r="E80" s="2" t="s">
        <v>11</v>
      </c>
      <c r="F80" s="2" t="s">
        <v>9</v>
      </c>
      <c r="G80" s="2" t="s">
        <v>10</v>
      </c>
      <c r="H80" s="2" t="s">
        <v>11</v>
      </c>
      <c r="I80" s="2" t="s">
        <v>9</v>
      </c>
      <c r="J80" s="2" t="s">
        <v>10</v>
      </c>
      <c r="K80" s="2" t="s">
        <v>11</v>
      </c>
    </row>
    <row r="81" spans="1:11" ht="22" customHeight="1" x14ac:dyDescent="0.25">
      <c r="A81" s="68" t="s">
        <v>53</v>
      </c>
      <c r="B81" s="59"/>
      <c r="C81" s="59"/>
      <c r="D81" s="59"/>
      <c r="E81" s="59"/>
      <c r="F81" s="59"/>
      <c r="G81" s="59"/>
      <c r="H81" s="59"/>
      <c r="I81" s="59"/>
      <c r="J81" s="59"/>
      <c r="K81" s="60"/>
    </row>
    <row r="82" spans="1:11" ht="22" customHeight="1" x14ac:dyDescent="0.25">
      <c r="A82" s="3" t="s">
        <v>128</v>
      </c>
      <c r="B82" s="4">
        <f t="shared" ref="B82:B90" si="32">B6</f>
        <v>618</v>
      </c>
      <c r="C82" s="4">
        <f t="shared" ref="C82:C90" si="33">I6</f>
        <v>37</v>
      </c>
      <c r="D82" s="4">
        <f t="shared" ref="D82:D90" si="34">J6</f>
        <v>35</v>
      </c>
      <c r="E82" s="4">
        <f t="shared" ref="E82:E91" si="35">IF(AND(C82&lt;&gt;"",D82&lt;&gt;""),D82/C82,"")</f>
        <v>0.94594594594594594</v>
      </c>
      <c r="F82" s="4">
        <f t="shared" ref="F82:F90" si="36">L44</f>
        <v>19</v>
      </c>
      <c r="G82" s="4">
        <f t="shared" ref="G82:G90" si="37">M44</f>
        <v>11</v>
      </c>
      <c r="H82" s="4">
        <f t="shared" ref="H82:H91" si="38">IF(AND(F82&lt;&gt;"",G82&lt;&gt;""),G82/F82,"")</f>
        <v>0.57894736842105265</v>
      </c>
      <c r="I82" s="4">
        <f t="shared" ref="I82:I90" si="39">C82+F82</f>
        <v>56</v>
      </c>
      <c r="J82" s="4">
        <f t="shared" ref="J82:J90" si="40">D82+G82</f>
        <v>46</v>
      </c>
      <c r="K82" s="4">
        <f t="shared" ref="K82:K91" si="41">IF(AND(I82&lt;&gt;"",J82&lt;&gt;""),J82/I82,"")</f>
        <v>0.8214285714285714</v>
      </c>
    </row>
    <row r="83" spans="1:11" ht="22" customHeight="1" x14ac:dyDescent="0.25">
      <c r="A83" s="3" t="s">
        <v>129</v>
      </c>
      <c r="B83" s="4">
        <f t="shared" si="32"/>
        <v>0</v>
      </c>
      <c r="C83" s="4">
        <f t="shared" si="33"/>
        <v>0</v>
      </c>
      <c r="D83" s="4">
        <f t="shared" si="34"/>
        <v>0</v>
      </c>
      <c r="E83" s="4" t="e">
        <f t="shared" si="35"/>
        <v>#DIV/0!</v>
      </c>
      <c r="F83" s="4">
        <f t="shared" si="36"/>
        <v>53</v>
      </c>
      <c r="G83" s="4">
        <f t="shared" si="37"/>
        <v>29</v>
      </c>
      <c r="H83" s="4">
        <f t="shared" si="38"/>
        <v>0.54716981132075471</v>
      </c>
      <c r="I83" s="4">
        <f t="shared" si="39"/>
        <v>53</v>
      </c>
      <c r="J83" s="4">
        <f t="shared" si="40"/>
        <v>29</v>
      </c>
      <c r="K83" s="4">
        <f t="shared" si="41"/>
        <v>0.54716981132075471</v>
      </c>
    </row>
    <row r="84" spans="1:11" ht="22" customHeight="1" x14ac:dyDescent="0.25">
      <c r="A84" s="3" t="s">
        <v>130</v>
      </c>
      <c r="B84" s="4">
        <f t="shared" si="32"/>
        <v>0</v>
      </c>
      <c r="C84" s="4">
        <f t="shared" si="33"/>
        <v>0</v>
      </c>
      <c r="D84" s="4">
        <f t="shared" si="34"/>
        <v>0</v>
      </c>
      <c r="E84" s="4" t="e">
        <f t="shared" si="35"/>
        <v>#DIV/0!</v>
      </c>
      <c r="F84" s="4">
        <f t="shared" si="36"/>
        <v>0</v>
      </c>
      <c r="G84" s="4">
        <f t="shared" si="37"/>
        <v>0</v>
      </c>
      <c r="H84" s="4" t="e">
        <f t="shared" si="38"/>
        <v>#DIV/0!</v>
      </c>
      <c r="I84" s="4">
        <f t="shared" si="39"/>
        <v>0</v>
      </c>
      <c r="J84" s="4">
        <f t="shared" si="40"/>
        <v>0</v>
      </c>
      <c r="K84" s="4" t="e">
        <f t="shared" si="41"/>
        <v>#DIV/0!</v>
      </c>
    </row>
    <row r="85" spans="1:11" ht="22" customHeight="1" x14ac:dyDescent="0.25">
      <c r="A85" s="3" t="s">
        <v>131</v>
      </c>
      <c r="B85" s="4">
        <f t="shared" si="32"/>
        <v>0</v>
      </c>
      <c r="C85" s="4">
        <f t="shared" si="33"/>
        <v>0</v>
      </c>
      <c r="D85" s="4">
        <f t="shared" si="34"/>
        <v>0</v>
      </c>
      <c r="E85" s="4" t="e">
        <f t="shared" si="35"/>
        <v>#DIV/0!</v>
      </c>
      <c r="F85" s="4">
        <f t="shared" si="36"/>
        <v>0</v>
      </c>
      <c r="G85" s="4">
        <f t="shared" si="37"/>
        <v>0</v>
      </c>
      <c r="H85" s="4" t="e">
        <f t="shared" si="38"/>
        <v>#DIV/0!</v>
      </c>
      <c r="I85" s="4">
        <f t="shared" si="39"/>
        <v>0</v>
      </c>
      <c r="J85" s="4">
        <f t="shared" si="40"/>
        <v>0</v>
      </c>
      <c r="K85" s="4" t="e">
        <f t="shared" si="41"/>
        <v>#DIV/0!</v>
      </c>
    </row>
    <row r="86" spans="1:11" ht="22" customHeight="1" x14ac:dyDescent="0.25">
      <c r="A86" s="3" t="s">
        <v>132</v>
      </c>
      <c r="B86" s="4">
        <f t="shared" si="32"/>
        <v>0</v>
      </c>
      <c r="C86" s="4">
        <f t="shared" si="33"/>
        <v>0</v>
      </c>
      <c r="D86" s="4">
        <f t="shared" si="34"/>
        <v>0</v>
      </c>
      <c r="E86" s="4" t="e">
        <f t="shared" si="35"/>
        <v>#DIV/0!</v>
      </c>
      <c r="F86" s="4">
        <f t="shared" si="36"/>
        <v>0</v>
      </c>
      <c r="G86" s="4">
        <f t="shared" si="37"/>
        <v>0</v>
      </c>
      <c r="H86" s="4" t="e">
        <f t="shared" si="38"/>
        <v>#DIV/0!</v>
      </c>
      <c r="I86" s="4">
        <f t="shared" si="39"/>
        <v>0</v>
      </c>
      <c r="J86" s="4">
        <f t="shared" si="40"/>
        <v>0</v>
      </c>
      <c r="K86" s="4" t="e">
        <f t="shared" si="41"/>
        <v>#DIV/0!</v>
      </c>
    </row>
    <row r="87" spans="1:11" ht="22" customHeight="1" x14ac:dyDescent="0.25">
      <c r="A87" s="3" t="s">
        <v>133</v>
      </c>
      <c r="B87" s="4">
        <f t="shared" si="32"/>
        <v>0</v>
      </c>
      <c r="C87" s="4">
        <f t="shared" si="33"/>
        <v>0</v>
      </c>
      <c r="D87" s="4">
        <f t="shared" si="34"/>
        <v>0</v>
      </c>
      <c r="E87" s="4" t="e">
        <f t="shared" si="35"/>
        <v>#DIV/0!</v>
      </c>
      <c r="F87" s="4">
        <f t="shared" si="36"/>
        <v>0</v>
      </c>
      <c r="G87" s="4">
        <f t="shared" si="37"/>
        <v>0</v>
      </c>
      <c r="H87" s="4" t="e">
        <f t="shared" si="38"/>
        <v>#DIV/0!</v>
      </c>
      <c r="I87" s="4">
        <f t="shared" si="39"/>
        <v>0</v>
      </c>
      <c r="J87" s="4">
        <f t="shared" si="40"/>
        <v>0</v>
      </c>
      <c r="K87" s="4" t="e">
        <f t="shared" si="41"/>
        <v>#DIV/0!</v>
      </c>
    </row>
    <row r="88" spans="1:11" ht="22" customHeight="1" x14ac:dyDescent="0.25">
      <c r="A88" s="3" t="s">
        <v>134</v>
      </c>
      <c r="B88" s="4">
        <f t="shared" si="32"/>
        <v>0</v>
      </c>
      <c r="C88" s="4">
        <f t="shared" si="33"/>
        <v>0</v>
      </c>
      <c r="D88" s="4">
        <f t="shared" si="34"/>
        <v>0</v>
      </c>
      <c r="E88" s="4" t="e">
        <f t="shared" si="35"/>
        <v>#DIV/0!</v>
      </c>
      <c r="F88" s="4">
        <f t="shared" si="36"/>
        <v>0</v>
      </c>
      <c r="G88" s="4">
        <f t="shared" si="37"/>
        <v>0</v>
      </c>
      <c r="H88" s="4" t="e">
        <f t="shared" si="38"/>
        <v>#DIV/0!</v>
      </c>
      <c r="I88" s="4">
        <f t="shared" si="39"/>
        <v>0</v>
      </c>
      <c r="J88" s="4">
        <f t="shared" si="40"/>
        <v>0</v>
      </c>
      <c r="K88" s="4" t="e">
        <f t="shared" si="41"/>
        <v>#DIV/0!</v>
      </c>
    </row>
    <row r="89" spans="1:11" ht="22" customHeight="1" x14ac:dyDescent="0.25">
      <c r="A89" s="3" t="s">
        <v>135</v>
      </c>
      <c r="B89" s="4">
        <f t="shared" si="32"/>
        <v>0</v>
      </c>
      <c r="C89" s="4">
        <f t="shared" si="33"/>
        <v>0</v>
      </c>
      <c r="D89" s="4">
        <f t="shared" si="34"/>
        <v>0</v>
      </c>
      <c r="E89" s="4" t="e">
        <f t="shared" si="35"/>
        <v>#DIV/0!</v>
      </c>
      <c r="F89" s="4">
        <f t="shared" si="36"/>
        <v>0</v>
      </c>
      <c r="G89" s="4">
        <f t="shared" si="37"/>
        <v>0</v>
      </c>
      <c r="H89" s="4" t="e">
        <f t="shared" si="38"/>
        <v>#DIV/0!</v>
      </c>
      <c r="I89" s="4">
        <f t="shared" si="39"/>
        <v>0</v>
      </c>
      <c r="J89" s="4">
        <f t="shared" si="40"/>
        <v>0</v>
      </c>
      <c r="K89" s="4" t="e">
        <f t="shared" si="41"/>
        <v>#DIV/0!</v>
      </c>
    </row>
    <row r="90" spans="1:11" ht="22" customHeight="1" x14ac:dyDescent="0.25">
      <c r="A90" s="3" t="s">
        <v>136</v>
      </c>
      <c r="B90" s="4">
        <f t="shared" si="32"/>
        <v>0</v>
      </c>
      <c r="C90" s="4">
        <f t="shared" si="33"/>
        <v>0</v>
      </c>
      <c r="D90" s="4">
        <f t="shared" si="34"/>
        <v>0</v>
      </c>
      <c r="E90" s="4" t="e">
        <f t="shared" si="35"/>
        <v>#DIV/0!</v>
      </c>
      <c r="F90" s="4">
        <f t="shared" si="36"/>
        <v>0</v>
      </c>
      <c r="G90" s="4">
        <f t="shared" si="37"/>
        <v>0</v>
      </c>
      <c r="H90" s="4" t="e">
        <f t="shared" si="38"/>
        <v>#DIV/0!</v>
      </c>
      <c r="I90" s="4">
        <f t="shared" si="39"/>
        <v>0</v>
      </c>
      <c r="J90" s="4">
        <f t="shared" si="40"/>
        <v>0</v>
      </c>
      <c r="K90" s="4" t="e">
        <f t="shared" si="41"/>
        <v>#DIV/0!</v>
      </c>
    </row>
    <row r="91" spans="1:11" ht="22" customHeight="1" x14ac:dyDescent="0.25">
      <c r="A91" s="5" t="s">
        <v>137</v>
      </c>
      <c r="B91" s="6"/>
      <c r="C91" s="7">
        <f>SUM(C82:C90)</f>
        <v>37</v>
      </c>
      <c r="D91" s="7">
        <f>SUM(D82:D90)</f>
        <v>35</v>
      </c>
      <c r="E91" s="7">
        <f t="shared" si="35"/>
        <v>0.94594594594594594</v>
      </c>
      <c r="F91" s="7">
        <f>SUM(F82:F90)</f>
        <v>72</v>
      </c>
      <c r="G91" s="7">
        <f>SUM(G82:G90)</f>
        <v>40</v>
      </c>
      <c r="H91" s="7">
        <f t="shared" si="38"/>
        <v>0.55555555555555558</v>
      </c>
      <c r="I91" s="7">
        <f>SUM(I82:I90)</f>
        <v>109</v>
      </c>
      <c r="J91" s="7">
        <f>SUM(J82:J90)</f>
        <v>75</v>
      </c>
      <c r="K91" s="7">
        <f t="shared" si="41"/>
        <v>0.68807339449541283</v>
      </c>
    </row>
    <row r="92" spans="1:11" ht="22" customHeight="1" x14ac:dyDescent="0.25"/>
    <row r="93" spans="1:11" ht="22" customHeight="1" x14ac:dyDescent="0.25">
      <c r="A93" s="68" t="s">
        <v>73</v>
      </c>
      <c r="B93" s="59"/>
      <c r="C93" s="59"/>
      <c r="D93" s="59"/>
      <c r="E93" s="59"/>
      <c r="F93" s="59"/>
      <c r="G93" s="59"/>
      <c r="H93" s="59"/>
      <c r="I93" s="59"/>
      <c r="J93" s="59"/>
      <c r="K93" s="60"/>
    </row>
    <row r="94" spans="1:11" ht="22" customHeight="1" x14ac:dyDescent="0.25">
      <c r="A94" s="3" t="s">
        <v>138</v>
      </c>
      <c r="B94" s="4">
        <f t="shared" ref="B94:B99" si="42">B18</f>
        <v>0</v>
      </c>
      <c r="C94" s="4">
        <f t="shared" ref="C94:D99" si="43">I18</f>
        <v>0</v>
      </c>
      <c r="D94" s="4">
        <f t="shared" si="43"/>
        <v>0</v>
      </c>
      <c r="E94" s="4" t="e">
        <f t="shared" ref="E94:E100" si="44">IF(AND(C94&lt;&gt;"",D94&lt;&gt;""),D94/C94,"")</f>
        <v>#DIV/0!</v>
      </c>
      <c r="F94" s="4">
        <f t="shared" ref="F94:G99" si="45">L56</f>
        <v>0</v>
      </c>
      <c r="G94" s="4">
        <f t="shared" si="45"/>
        <v>0</v>
      </c>
      <c r="H94" s="4" t="e">
        <f t="shared" ref="H94:H100" si="46">IF(AND(F94&lt;&gt;"",G94&lt;&gt;""),G94/F94,"")</f>
        <v>#DIV/0!</v>
      </c>
      <c r="I94" s="4">
        <f t="shared" ref="I94:J99" si="47">C94+F94</f>
        <v>0</v>
      </c>
      <c r="J94" s="4">
        <f t="shared" si="47"/>
        <v>0</v>
      </c>
      <c r="K94" s="4" t="e">
        <f t="shared" ref="K94:K100" si="48">IF(AND(I94&lt;&gt;"",J94&lt;&gt;""),J94/I94,"")</f>
        <v>#DIV/0!</v>
      </c>
    </row>
    <row r="95" spans="1:11" ht="22" customHeight="1" x14ac:dyDescent="0.25">
      <c r="A95" s="3" t="s">
        <v>139</v>
      </c>
      <c r="B95" s="4">
        <f t="shared" si="42"/>
        <v>0</v>
      </c>
      <c r="C95" s="4">
        <f t="shared" si="43"/>
        <v>0</v>
      </c>
      <c r="D95" s="4">
        <f t="shared" si="43"/>
        <v>0</v>
      </c>
      <c r="E95" s="4" t="e">
        <f t="shared" si="44"/>
        <v>#DIV/0!</v>
      </c>
      <c r="F95" s="4">
        <f t="shared" si="45"/>
        <v>0</v>
      </c>
      <c r="G95" s="4">
        <f t="shared" si="45"/>
        <v>0</v>
      </c>
      <c r="H95" s="4" t="e">
        <f t="shared" si="46"/>
        <v>#DIV/0!</v>
      </c>
      <c r="I95" s="4">
        <f t="shared" si="47"/>
        <v>0</v>
      </c>
      <c r="J95" s="4">
        <f t="shared" si="47"/>
        <v>0</v>
      </c>
      <c r="K95" s="4" t="e">
        <f t="shared" si="48"/>
        <v>#DIV/0!</v>
      </c>
    </row>
    <row r="96" spans="1:11" ht="22" customHeight="1" x14ac:dyDescent="0.25">
      <c r="A96" s="3" t="s">
        <v>140</v>
      </c>
      <c r="B96" s="4">
        <f t="shared" si="42"/>
        <v>0</v>
      </c>
      <c r="C96" s="4">
        <f t="shared" si="43"/>
        <v>0</v>
      </c>
      <c r="D96" s="4">
        <f t="shared" si="43"/>
        <v>0</v>
      </c>
      <c r="E96" s="4" t="e">
        <f t="shared" si="44"/>
        <v>#DIV/0!</v>
      </c>
      <c r="F96" s="4">
        <f t="shared" si="45"/>
        <v>0</v>
      </c>
      <c r="G96" s="4">
        <f t="shared" si="45"/>
        <v>0</v>
      </c>
      <c r="H96" s="4" t="e">
        <f t="shared" si="46"/>
        <v>#DIV/0!</v>
      </c>
      <c r="I96" s="4">
        <f t="shared" si="47"/>
        <v>0</v>
      </c>
      <c r="J96" s="4">
        <f t="shared" si="47"/>
        <v>0</v>
      </c>
      <c r="K96" s="4" t="e">
        <f t="shared" si="48"/>
        <v>#DIV/0!</v>
      </c>
    </row>
    <row r="97" spans="1:11" ht="22" customHeight="1" x14ac:dyDescent="0.25">
      <c r="A97" s="3" t="s">
        <v>141</v>
      </c>
      <c r="B97" s="4">
        <f t="shared" si="42"/>
        <v>0</v>
      </c>
      <c r="C97" s="4">
        <f t="shared" si="43"/>
        <v>0</v>
      </c>
      <c r="D97" s="4">
        <f t="shared" si="43"/>
        <v>0</v>
      </c>
      <c r="E97" s="4" t="e">
        <f t="shared" si="44"/>
        <v>#DIV/0!</v>
      </c>
      <c r="F97" s="4">
        <f t="shared" si="45"/>
        <v>0</v>
      </c>
      <c r="G97" s="4">
        <f t="shared" si="45"/>
        <v>0</v>
      </c>
      <c r="H97" s="4" t="e">
        <f t="shared" si="46"/>
        <v>#DIV/0!</v>
      </c>
      <c r="I97" s="4">
        <f t="shared" si="47"/>
        <v>0</v>
      </c>
      <c r="J97" s="4">
        <f t="shared" si="47"/>
        <v>0</v>
      </c>
      <c r="K97" s="4" t="e">
        <f t="shared" si="48"/>
        <v>#DIV/0!</v>
      </c>
    </row>
    <row r="98" spans="1:11" ht="22" customHeight="1" x14ac:dyDescent="0.25">
      <c r="A98" s="3" t="s">
        <v>142</v>
      </c>
      <c r="B98" s="4">
        <f t="shared" si="42"/>
        <v>0</v>
      </c>
      <c r="C98" s="4">
        <f t="shared" si="43"/>
        <v>0</v>
      </c>
      <c r="D98" s="4">
        <f t="shared" si="43"/>
        <v>0</v>
      </c>
      <c r="E98" s="4" t="e">
        <f t="shared" si="44"/>
        <v>#DIV/0!</v>
      </c>
      <c r="F98" s="4">
        <f t="shared" si="45"/>
        <v>0</v>
      </c>
      <c r="G98" s="4">
        <f t="shared" si="45"/>
        <v>0</v>
      </c>
      <c r="H98" s="4" t="e">
        <f t="shared" si="46"/>
        <v>#DIV/0!</v>
      </c>
      <c r="I98" s="4">
        <f t="shared" si="47"/>
        <v>0</v>
      </c>
      <c r="J98" s="4">
        <f t="shared" si="47"/>
        <v>0</v>
      </c>
      <c r="K98" s="4" t="e">
        <f t="shared" si="48"/>
        <v>#DIV/0!</v>
      </c>
    </row>
    <row r="99" spans="1:11" ht="22" customHeight="1" x14ac:dyDescent="0.25">
      <c r="A99" s="3" t="s">
        <v>143</v>
      </c>
      <c r="B99" s="4">
        <f t="shared" si="42"/>
        <v>0</v>
      </c>
      <c r="C99" s="4">
        <f t="shared" si="43"/>
        <v>0</v>
      </c>
      <c r="D99" s="4">
        <f t="shared" si="43"/>
        <v>0</v>
      </c>
      <c r="E99" s="4" t="e">
        <f t="shared" si="44"/>
        <v>#DIV/0!</v>
      </c>
      <c r="F99" s="4">
        <f t="shared" si="45"/>
        <v>0</v>
      </c>
      <c r="G99" s="4">
        <f t="shared" si="45"/>
        <v>0</v>
      </c>
      <c r="H99" s="4" t="e">
        <f t="shared" si="46"/>
        <v>#DIV/0!</v>
      </c>
      <c r="I99" s="4">
        <f t="shared" si="47"/>
        <v>0</v>
      </c>
      <c r="J99" s="4">
        <f t="shared" si="47"/>
        <v>0</v>
      </c>
      <c r="K99" s="4" t="e">
        <f t="shared" si="48"/>
        <v>#DIV/0!</v>
      </c>
    </row>
    <row r="100" spans="1:11" ht="22" customHeight="1" x14ac:dyDescent="0.25">
      <c r="A100" s="5" t="s">
        <v>144</v>
      </c>
      <c r="B100" s="6"/>
      <c r="C100" s="7">
        <f>SUM(C94:C99)</f>
        <v>0</v>
      </c>
      <c r="D100" s="7">
        <f>SUM(D94:D99)</f>
        <v>0</v>
      </c>
      <c r="E100" s="7" t="e">
        <f t="shared" si="44"/>
        <v>#DIV/0!</v>
      </c>
      <c r="F100" s="7">
        <f>SUM(F94:F99)</f>
        <v>0</v>
      </c>
      <c r="G100" s="7">
        <f>SUM(G94:G99)</f>
        <v>0</v>
      </c>
      <c r="H100" s="7" t="e">
        <f t="shared" si="46"/>
        <v>#DIV/0!</v>
      </c>
      <c r="I100" s="7">
        <f>SUM(I94:I99)</f>
        <v>0</v>
      </c>
      <c r="J100" s="7">
        <f>SUM(J94:J99)</f>
        <v>0</v>
      </c>
      <c r="K100" s="7" t="e">
        <f t="shared" si="48"/>
        <v>#DIV/0!</v>
      </c>
    </row>
    <row r="101" spans="1:11" ht="22" customHeight="1" x14ac:dyDescent="0.25"/>
    <row r="102" spans="1:11" ht="22" customHeight="1" x14ac:dyDescent="0.25">
      <c r="A102" s="68" t="s">
        <v>80</v>
      </c>
      <c r="B102" s="59"/>
      <c r="C102" s="59"/>
      <c r="D102" s="59"/>
      <c r="E102" s="59"/>
      <c r="F102" s="59"/>
      <c r="G102" s="59"/>
      <c r="H102" s="59"/>
      <c r="I102" s="59"/>
      <c r="J102" s="59"/>
      <c r="K102" s="60"/>
    </row>
    <row r="103" spans="1:11" ht="22" customHeight="1" x14ac:dyDescent="0.25">
      <c r="A103" s="3" t="s">
        <v>145</v>
      </c>
      <c r="B103" s="4">
        <f t="shared" ref="B103:B110" si="49">B27</f>
        <v>0</v>
      </c>
      <c r="C103" s="4">
        <f t="shared" ref="C103:D110" si="50">I27</f>
        <v>0</v>
      </c>
      <c r="D103" s="4">
        <f t="shared" si="50"/>
        <v>0</v>
      </c>
      <c r="E103" s="4" t="e">
        <f t="shared" ref="E103:E112" si="51">IF(AND(C103&lt;&gt;"",D103&lt;&gt;""),D103/C103,"")</f>
        <v>#DIV/0!</v>
      </c>
      <c r="F103" s="4">
        <f t="shared" ref="F103:G110" si="52">L65</f>
        <v>0</v>
      </c>
      <c r="G103" s="4">
        <f t="shared" si="52"/>
        <v>0</v>
      </c>
      <c r="H103" s="4" t="e">
        <f t="shared" ref="H103:H112" si="53">IF(AND(F103&lt;&gt;"",G103&lt;&gt;""),G103/F103,"")</f>
        <v>#DIV/0!</v>
      </c>
      <c r="I103" s="4">
        <f t="shared" ref="I103:J110" si="54">C103+F103</f>
        <v>0</v>
      </c>
      <c r="J103" s="4">
        <f t="shared" si="54"/>
        <v>0</v>
      </c>
      <c r="K103" s="4" t="e">
        <f t="shared" ref="K103:K112" si="55">IF(AND(I103&lt;&gt;"",J103&lt;&gt;""),J103/I103,"")</f>
        <v>#DIV/0!</v>
      </c>
    </row>
    <row r="104" spans="1:11" ht="22" customHeight="1" x14ac:dyDescent="0.25">
      <c r="A104" s="3" t="s">
        <v>146</v>
      </c>
      <c r="B104" s="4">
        <f t="shared" si="49"/>
        <v>0</v>
      </c>
      <c r="C104" s="4">
        <f t="shared" si="50"/>
        <v>0</v>
      </c>
      <c r="D104" s="4">
        <f t="shared" si="50"/>
        <v>0</v>
      </c>
      <c r="E104" s="4" t="e">
        <f t="shared" si="51"/>
        <v>#DIV/0!</v>
      </c>
      <c r="F104" s="4">
        <f t="shared" si="52"/>
        <v>0</v>
      </c>
      <c r="G104" s="4">
        <f t="shared" si="52"/>
        <v>0</v>
      </c>
      <c r="H104" s="4" t="e">
        <f t="shared" si="53"/>
        <v>#DIV/0!</v>
      </c>
      <c r="I104" s="4">
        <f t="shared" si="54"/>
        <v>0</v>
      </c>
      <c r="J104" s="4">
        <f t="shared" si="54"/>
        <v>0</v>
      </c>
      <c r="K104" s="4" t="e">
        <f t="shared" si="55"/>
        <v>#DIV/0!</v>
      </c>
    </row>
    <row r="105" spans="1:11" ht="22" customHeight="1" x14ac:dyDescent="0.25">
      <c r="A105" s="3" t="s">
        <v>147</v>
      </c>
      <c r="B105" s="4">
        <f t="shared" si="49"/>
        <v>0</v>
      </c>
      <c r="C105" s="4">
        <f t="shared" si="50"/>
        <v>0</v>
      </c>
      <c r="D105" s="4">
        <f t="shared" si="50"/>
        <v>0</v>
      </c>
      <c r="E105" s="4" t="e">
        <f t="shared" si="51"/>
        <v>#DIV/0!</v>
      </c>
      <c r="F105" s="4">
        <f t="shared" si="52"/>
        <v>0</v>
      </c>
      <c r="G105" s="4">
        <f t="shared" si="52"/>
        <v>0</v>
      </c>
      <c r="H105" s="4" t="e">
        <f t="shared" si="53"/>
        <v>#DIV/0!</v>
      </c>
      <c r="I105" s="4">
        <f t="shared" si="54"/>
        <v>0</v>
      </c>
      <c r="J105" s="4">
        <f t="shared" si="54"/>
        <v>0</v>
      </c>
      <c r="K105" s="4" t="e">
        <f t="shared" si="55"/>
        <v>#DIV/0!</v>
      </c>
    </row>
    <row r="106" spans="1:11" ht="22" customHeight="1" x14ac:dyDescent="0.25">
      <c r="A106" s="3" t="s">
        <v>148</v>
      </c>
      <c r="B106" s="4">
        <f t="shared" si="49"/>
        <v>0</v>
      </c>
      <c r="C106" s="4">
        <f t="shared" si="50"/>
        <v>0</v>
      </c>
      <c r="D106" s="4">
        <f t="shared" si="50"/>
        <v>0</v>
      </c>
      <c r="E106" s="4" t="e">
        <f t="shared" si="51"/>
        <v>#DIV/0!</v>
      </c>
      <c r="F106" s="4">
        <f t="shared" si="52"/>
        <v>0</v>
      </c>
      <c r="G106" s="4">
        <f t="shared" si="52"/>
        <v>0</v>
      </c>
      <c r="H106" s="4" t="e">
        <f t="shared" si="53"/>
        <v>#DIV/0!</v>
      </c>
      <c r="I106" s="4">
        <f t="shared" si="54"/>
        <v>0</v>
      </c>
      <c r="J106" s="4">
        <f t="shared" si="54"/>
        <v>0</v>
      </c>
      <c r="K106" s="4" t="e">
        <f t="shared" si="55"/>
        <v>#DIV/0!</v>
      </c>
    </row>
    <row r="107" spans="1:11" ht="22" customHeight="1" x14ac:dyDescent="0.25">
      <c r="A107" s="3" t="s">
        <v>149</v>
      </c>
      <c r="B107" s="4">
        <f t="shared" si="49"/>
        <v>0</v>
      </c>
      <c r="C107" s="4">
        <f t="shared" si="50"/>
        <v>0</v>
      </c>
      <c r="D107" s="4">
        <f t="shared" si="50"/>
        <v>0</v>
      </c>
      <c r="E107" s="4" t="e">
        <f t="shared" si="51"/>
        <v>#DIV/0!</v>
      </c>
      <c r="F107" s="4">
        <f t="shared" si="52"/>
        <v>0</v>
      </c>
      <c r="G107" s="4">
        <f t="shared" si="52"/>
        <v>0</v>
      </c>
      <c r="H107" s="4" t="e">
        <f t="shared" si="53"/>
        <v>#DIV/0!</v>
      </c>
      <c r="I107" s="4">
        <f t="shared" si="54"/>
        <v>0</v>
      </c>
      <c r="J107" s="4">
        <f t="shared" si="54"/>
        <v>0</v>
      </c>
      <c r="K107" s="4" t="e">
        <f t="shared" si="55"/>
        <v>#DIV/0!</v>
      </c>
    </row>
    <row r="108" spans="1:11" ht="22" customHeight="1" x14ac:dyDescent="0.25">
      <c r="A108" s="3" t="s">
        <v>150</v>
      </c>
      <c r="B108" s="4">
        <f t="shared" si="49"/>
        <v>0</v>
      </c>
      <c r="C108" s="4">
        <f t="shared" si="50"/>
        <v>0</v>
      </c>
      <c r="D108" s="4">
        <f t="shared" si="50"/>
        <v>0</v>
      </c>
      <c r="E108" s="4" t="e">
        <f t="shared" si="51"/>
        <v>#DIV/0!</v>
      </c>
      <c r="F108" s="4">
        <f t="shared" si="52"/>
        <v>0</v>
      </c>
      <c r="G108" s="4">
        <f t="shared" si="52"/>
        <v>0</v>
      </c>
      <c r="H108" s="4" t="e">
        <f t="shared" si="53"/>
        <v>#DIV/0!</v>
      </c>
      <c r="I108" s="4">
        <f t="shared" si="54"/>
        <v>0</v>
      </c>
      <c r="J108" s="4">
        <f t="shared" si="54"/>
        <v>0</v>
      </c>
      <c r="K108" s="4" t="e">
        <f t="shared" si="55"/>
        <v>#DIV/0!</v>
      </c>
    </row>
    <row r="109" spans="1:11" ht="22" customHeight="1" x14ac:dyDescent="0.25">
      <c r="A109" s="3" t="s">
        <v>151</v>
      </c>
      <c r="B109" s="4">
        <f t="shared" si="49"/>
        <v>0</v>
      </c>
      <c r="C109" s="4">
        <f t="shared" si="50"/>
        <v>0</v>
      </c>
      <c r="D109" s="4">
        <f t="shared" si="50"/>
        <v>0</v>
      </c>
      <c r="E109" s="4" t="e">
        <f t="shared" si="51"/>
        <v>#DIV/0!</v>
      </c>
      <c r="F109" s="4">
        <f t="shared" si="52"/>
        <v>0</v>
      </c>
      <c r="G109" s="4">
        <f t="shared" si="52"/>
        <v>0</v>
      </c>
      <c r="H109" s="4" t="e">
        <f t="shared" si="53"/>
        <v>#DIV/0!</v>
      </c>
      <c r="I109" s="4">
        <f t="shared" si="54"/>
        <v>0</v>
      </c>
      <c r="J109" s="4">
        <f t="shared" si="54"/>
        <v>0</v>
      </c>
      <c r="K109" s="4" t="e">
        <f t="shared" si="55"/>
        <v>#DIV/0!</v>
      </c>
    </row>
    <row r="110" spans="1:11" ht="22" customHeight="1" x14ac:dyDescent="0.25">
      <c r="A110" s="3" t="s">
        <v>152</v>
      </c>
      <c r="B110" s="4">
        <f t="shared" si="49"/>
        <v>0</v>
      </c>
      <c r="C110" s="4">
        <f t="shared" si="50"/>
        <v>0</v>
      </c>
      <c r="D110" s="4">
        <f t="shared" si="50"/>
        <v>0</v>
      </c>
      <c r="E110" s="4" t="e">
        <f t="shared" si="51"/>
        <v>#DIV/0!</v>
      </c>
      <c r="F110" s="4">
        <f t="shared" si="52"/>
        <v>0</v>
      </c>
      <c r="G110" s="4">
        <f t="shared" si="52"/>
        <v>0</v>
      </c>
      <c r="H110" s="4" t="e">
        <f t="shared" si="53"/>
        <v>#DIV/0!</v>
      </c>
      <c r="I110" s="4">
        <f t="shared" si="54"/>
        <v>0</v>
      </c>
      <c r="J110" s="4">
        <f t="shared" si="54"/>
        <v>0</v>
      </c>
      <c r="K110" s="4" t="e">
        <f t="shared" si="55"/>
        <v>#DIV/0!</v>
      </c>
    </row>
    <row r="111" spans="1:11" ht="22" customHeight="1" x14ac:dyDescent="0.25">
      <c r="A111" s="5" t="s">
        <v>153</v>
      </c>
      <c r="B111" s="6"/>
      <c r="C111" s="7">
        <f>SUM(C103:C110)</f>
        <v>0</v>
      </c>
      <c r="D111" s="7">
        <f>SUM(D103:D110)</f>
        <v>0</v>
      </c>
      <c r="E111" s="7" t="e">
        <f t="shared" si="51"/>
        <v>#DIV/0!</v>
      </c>
      <c r="F111" s="7">
        <f>SUM(F103:F110)</f>
        <v>0</v>
      </c>
      <c r="G111" s="7">
        <f>SUM(G103:G110)</f>
        <v>0</v>
      </c>
      <c r="H111" s="7" t="e">
        <f t="shared" si="53"/>
        <v>#DIV/0!</v>
      </c>
      <c r="I111" s="7">
        <f>SUM(I103:I110)</f>
        <v>0</v>
      </c>
      <c r="J111" s="7">
        <f>SUM(J103:J110)</f>
        <v>0</v>
      </c>
      <c r="K111" s="7" t="e">
        <f t="shared" si="55"/>
        <v>#DIV/0!</v>
      </c>
    </row>
    <row r="112" spans="1:11" ht="22" customHeight="1" x14ac:dyDescent="0.25">
      <c r="A112" s="8" t="s">
        <v>154</v>
      </c>
      <c r="B112" s="9"/>
      <c r="C112" s="10">
        <f>C91+C100+C111</f>
        <v>37</v>
      </c>
      <c r="D112" s="10">
        <f>D91+D100+D111</f>
        <v>35</v>
      </c>
      <c r="E112" s="10">
        <f t="shared" si="51"/>
        <v>0.94594594594594594</v>
      </c>
      <c r="F112" s="10">
        <f>F91+F100+F111</f>
        <v>72</v>
      </c>
      <c r="G112" s="10">
        <f>G91+G100+G111</f>
        <v>40</v>
      </c>
      <c r="H112" s="10">
        <f t="shared" si="53"/>
        <v>0.55555555555555558</v>
      </c>
      <c r="I112" s="10">
        <f>I91+I100+I111</f>
        <v>109</v>
      </c>
      <c r="J112" s="10">
        <f>J91+J100+J111</f>
        <v>75</v>
      </c>
      <c r="K112" s="10">
        <f t="shared" si="55"/>
        <v>0.68807339449541283</v>
      </c>
    </row>
  </sheetData>
  <mergeCells count="22">
    <mergeCell ref="A1:K1"/>
    <mergeCell ref="A81:K81"/>
    <mergeCell ref="A55:N55"/>
    <mergeCell ref="A5:K5"/>
    <mergeCell ref="A64:N64"/>
    <mergeCell ref="I3:K3"/>
    <mergeCell ref="A26:K26"/>
    <mergeCell ref="F41:H41"/>
    <mergeCell ref="A17:K17"/>
    <mergeCell ref="F3:H3"/>
    <mergeCell ref="I79:K79"/>
    <mergeCell ref="I41:K41"/>
    <mergeCell ref="C79:E79"/>
    <mergeCell ref="C41:E41"/>
    <mergeCell ref="A43:N43"/>
    <mergeCell ref="A77:K77"/>
    <mergeCell ref="C3:E3"/>
    <mergeCell ref="A93:K93"/>
    <mergeCell ref="F79:H79"/>
    <mergeCell ref="A39:N39"/>
    <mergeCell ref="A102:K102"/>
    <mergeCell ref="L41:N41"/>
  </mergeCells>
  <phoneticPr fontId="1" type="noConversion"/>
  <conditionalFormatting sqref="E6:E15">
    <cfRule type="cellIs" dxfId="662" priority="27" operator="lessThan">
      <formula>0.8</formula>
    </cfRule>
    <cfRule type="cellIs" dxfId="661" priority="25" operator="greaterThanOrEqual">
      <formula>0.9</formula>
    </cfRule>
    <cfRule type="cellIs" dxfId="660" priority="26" operator="between">
      <formula>0.8</formula>
      <formula>0.9</formula>
    </cfRule>
  </conditionalFormatting>
  <conditionalFormatting sqref="E18:E24">
    <cfRule type="cellIs" dxfId="659" priority="34" operator="greaterThanOrEqual">
      <formula>0.9</formula>
    </cfRule>
    <cfRule type="cellIs" dxfId="658" priority="35" operator="between">
      <formula>0.8</formula>
      <formula>0.9</formula>
    </cfRule>
    <cfRule type="cellIs" dxfId="657" priority="36" operator="lessThan">
      <formula>0.8</formula>
    </cfRule>
  </conditionalFormatting>
  <conditionalFormatting sqref="E27:E36">
    <cfRule type="cellIs" dxfId="656" priority="44" operator="between">
      <formula>0.8</formula>
      <formula>0.9</formula>
    </cfRule>
    <cfRule type="cellIs" dxfId="655" priority="45" operator="lessThan">
      <formula>0.8</formula>
    </cfRule>
    <cfRule type="cellIs" dxfId="654" priority="43" operator="greaterThanOrEqual">
      <formula>0.9</formula>
    </cfRule>
  </conditionalFormatting>
  <conditionalFormatting sqref="E44:E53">
    <cfRule type="cellIs" dxfId="653" priority="90" operator="lessThan">
      <formula>0.8</formula>
    </cfRule>
    <cfRule type="cellIs" dxfId="652" priority="88" operator="greaterThanOrEqual">
      <formula>0.9</formula>
    </cfRule>
    <cfRule type="cellIs" dxfId="651" priority="89" operator="between">
      <formula>0.8</formula>
      <formula>0.9</formula>
    </cfRule>
  </conditionalFormatting>
  <conditionalFormatting sqref="E55:E74">
    <cfRule type="cellIs" dxfId="650" priority="2" operator="between">
      <formula>0.8</formula>
      <formula>0.9</formula>
    </cfRule>
    <cfRule type="cellIs" dxfId="649" priority="3" operator="lessThan">
      <formula>0.8</formula>
    </cfRule>
    <cfRule type="cellIs" dxfId="648" priority="1" operator="greaterThanOrEqual">
      <formula>0.9</formula>
    </cfRule>
  </conditionalFormatting>
  <conditionalFormatting sqref="E82:E91">
    <cfRule type="cellIs" dxfId="647" priority="172" operator="greaterThanOrEqual">
      <formula>0.9</formula>
    </cfRule>
    <cfRule type="cellIs" dxfId="646" priority="173" operator="between">
      <formula>0.8</formula>
      <formula>0.9</formula>
    </cfRule>
    <cfRule type="cellIs" dxfId="645" priority="174" operator="lessThan">
      <formula>0.8</formula>
    </cfRule>
  </conditionalFormatting>
  <conditionalFormatting sqref="E93:E98">
    <cfRule type="cellIs" dxfId="644" priority="182" operator="between">
      <formula>0.8</formula>
      <formula>0.9</formula>
    </cfRule>
    <cfRule type="cellIs" dxfId="643" priority="181" operator="greaterThanOrEqual">
      <formula>0.9</formula>
    </cfRule>
    <cfRule type="cellIs" dxfId="642" priority="183" operator="lessThan">
      <formula>0.8</formula>
    </cfRule>
  </conditionalFormatting>
  <conditionalFormatting sqref="E100:E108">
    <cfRule type="cellIs" dxfId="641" priority="192" operator="lessThan">
      <formula>0.8</formula>
    </cfRule>
    <cfRule type="cellIs" dxfId="640" priority="191" operator="between">
      <formula>0.8</formula>
      <formula>0.9</formula>
    </cfRule>
    <cfRule type="cellIs" dxfId="639" priority="190" operator="greaterThanOrEqual">
      <formula>0.9</formula>
    </cfRule>
  </conditionalFormatting>
  <conditionalFormatting sqref="E111:E112">
    <cfRule type="cellIs" dxfId="638" priority="217" operator="greaterThanOrEqual">
      <formula>0.9</formula>
    </cfRule>
    <cfRule type="cellIs" dxfId="637" priority="218" operator="between">
      <formula>0.8</formula>
      <formula>0.9</formula>
    </cfRule>
    <cfRule type="cellIs" dxfId="636" priority="219" operator="lessThan">
      <formula>0.8</formula>
    </cfRule>
  </conditionalFormatting>
  <conditionalFormatting sqref="H6:H15">
    <cfRule type="cellIs" dxfId="635" priority="28" operator="greaterThanOrEqual">
      <formula>0.9</formula>
    </cfRule>
    <cfRule type="cellIs" dxfId="634" priority="29" operator="between">
      <formula>0.8</formula>
      <formula>0.9</formula>
    </cfRule>
    <cfRule type="cellIs" dxfId="633" priority="30" operator="lessThan">
      <formula>0.8</formula>
    </cfRule>
  </conditionalFormatting>
  <conditionalFormatting sqref="H18:H24">
    <cfRule type="cellIs" dxfId="632" priority="39" operator="lessThan">
      <formula>0.8</formula>
    </cfRule>
    <cfRule type="cellIs" dxfId="631" priority="37" operator="greaterThanOrEqual">
      <formula>0.9</formula>
    </cfRule>
    <cfRule type="cellIs" dxfId="630" priority="38" operator="between">
      <formula>0.8</formula>
      <formula>0.9</formula>
    </cfRule>
  </conditionalFormatting>
  <conditionalFormatting sqref="H27:H36">
    <cfRule type="cellIs" dxfId="629" priority="46" operator="greaterThanOrEqual">
      <formula>0.9</formula>
    </cfRule>
    <cfRule type="cellIs" dxfId="628" priority="47" operator="between">
      <formula>0.8</formula>
      <formula>0.9</formula>
    </cfRule>
    <cfRule type="cellIs" dxfId="627" priority="48" operator="lessThan">
      <formula>0.8</formula>
    </cfRule>
  </conditionalFormatting>
  <conditionalFormatting sqref="H44:H53">
    <cfRule type="cellIs" dxfId="626" priority="91" operator="greaterThanOrEqual">
      <formula>0.9</formula>
    </cfRule>
    <cfRule type="cellIs" dxfId="625" priority="92" operator="between">
      <formula>0.8</formula>
      <formula>0.9</formula>
    </cfRule>
    <cfRule type="cellIs" dxfId="624" priority="93" operator="lessThan">
      <formula>0.8</formula>
    </cfRule>
  </conditionalFormatting>
  <conditionalFormatting sqref="H55:H74">
    <cfRule type="cellIs" dxfId="623" priority="9" operator="lessThan">
      <formula>0.8</formula>
    </cfRule>
    <cfRule type="cellIs" dxfId="622" priority="8" operator="between">
      <formula>0.8</formula>
      <formula>0.9</formula>
    </cfRule>
    <cfRule type="cellIs" dxfId="621" priority="7" operator="greaterThanOrEqual">
      <formula>0.9</formula>
    </cfRule>
  </conditionalFormatting>
  <conditionalFormatting sqref="H82:H91">
    <cfRule type="cellIs" dxfId="620" priority="176" operator="between">
      <formula>0.8</formula>
      <formula>0.9</formula>
    </cfRule>
    <cfRule type="cellIs" dxfId="619" priority="175" operator="greaterThanOrEqual">
      <formula>0.9</formula>
    </cfRule>
    <cfRule type="cellIs" dxfId="618" priority="177" operator="lessThan">
      <formula>0.8</formula>
    </cfRule>
  </conditionalFormatting>
  <conditionalFormatting sqref="H93:H98">
    <cfRule type="cellIs" dxfId="617" priority="184" operator="greaterThanOrEqual">
      <formula>0.9</formula>
    </cfRule>
    <cfRule type="cellIs" dxfId="616" priority="185" operator="between">
      <formula>0.8</formula>
      <formula>0.9</formula>
    </cfRule>
    <cfRule type="cellIs" dxfId="615" priority="186" operator="lessThan">
      <formula>0.8</formula>
    </cfRule>
  </conditionalFormatting>
  <conditionalFormatting sqref="H100:H108">
    <cfRule type="cellIs" dxfId="614" priority="193" operator="greaterThanOrEqual">
      <formula>0.9</formula>
    </cfRule>
    <cfRule type="cellIs" dxfId="613" priority="194" operator="between">
      <formula>0.8</formula>
      <formula>0.9</formula>
    </cfRule>
    <cfRule type="cellIs" dxfId="612" priority="195" operator="lessThan">
      <formula>0.8</formula>
    </cfRule>
  </conditionalFormatting>
  <conditionalFormatting sqref="H111:H112">
    <cfRule type="cellIs" dxfId="611" priority="220" operator="greaterThanOrEqual">
      <formula>0.9</formula>
    </cfRule>
    <cfRule type="cellIs" dxfId="610" priority="221" operator="between">
      <formula>0.8</formula>
      <formula>0.9</formula>
    </cfRule>
    <cfRule type="cellIs" dxfId="609" priority="222" operator="lessThan">
      <formula>0.8</formula>
    </cfRule>
  </conditionalFormatting>
  <conditionalFormatting sqref="K6:K15">
    <cfRule type="cellIs" dxfId="608" priority="33" operator="lessThan">
      <formula>0.8</formula>
    </cfRule>
    <cfRule type="cellIs" dxfId="607" priority="32" operator="between">
      <formula>0.8</formula>
      <formula>0.9</formula>
    </cfRule>
    <cfRule type="cellIs" dxfId="606" priority="31" operator="greaterThanOrEqual">
      <formula>0.9</formula>
    </cfRule>
  </conditionalFormatting>
  <conditionalFormatting sqref="K18:K24">
    <cfRule type="cellIs" dxfId="605" priority="42" operator="lessThan">
      <formula>0.8</formula>
    </cfRule>
    <cfRule type="cellIs" dxfId="604" priority="41" operator="between">
      <formula>0.8</formula>
      <formula>0.9</formula>
    </cfRule>
    <cfRule type="cellIs" dxfId="603" priority="40" operator="greaterThanOrEqual">
      <formula>0.9</formula>
    </cfRule>
  </conditionalFormatting>
  <conditionalFormatting sqref="K27:K36">
    <cfRule type="cellIs" dxfId="602" priority="50" operator="between">
      <formula>0.8</formula>
      <formula>0.9</formula>
    </cfRule>
    <cfRule type="cellIs" dxfId="601" priority="51" operator="lessThan">
      <formula>0.8</formula>
    </cfRule>
    <cfRule type="cellIs" dxfId="600" priority="49" operator="greaterThanOrEqual">
      <formula>0.9</formula>
    </cfRule>
  </conditionalFormatting>
  <conditionalFormatting sqref="K44:K53">
    <cfRule type="cellIs" dxfId="599" priority="96" operator="lessThan">
      <formula>0.8</formula>
    </cfRule>
    <cfRule type="cellIs" dxfId="598" priority="95" operator="between">
      <formula>0.8</formula>
      <formula>0.9</formula>
    </cfRule>
    <cfRule type="cellIs" dxfId="597" priority="94" operator="greaterThanOrEqual">
      <formula>0.9</formula>
    </cfRule>
  </conditionalFormatting>
  <conditionalFormatting sqref="K55:K74">
    <cfRule type="cellIs" dxfId="596" priority="14" operator="between">
      <formula>0.8</formula>
      <formula>0.9</formula>
    </cfRule>
    <cfRule type="cellIs" dxfId="595" priority="13" operator="greaterThanOrEqual">
      <formula>0.9</formula>
    </cfRule>
    <cfRule type="cellIs" dxfId="594" priority="15" operator="lessThan">
      <formula>0.8</formula>
    </cfRule>
  </conditionalFormatting>
  <conditionalFormatting sqref="K82:K91">
    <cfRule type="cellIs" dxfId="593" priority="178" operator="greaterThanOrEqual">
      <formula>0.9</formula>
    </cfRule>
    <cfRule type="cellIs" dxfId="592" priority="179" operator="between">
      <formula>0.8</formula>
      <formula>0.9</formula>
    </cfRule>
    <cfRule type="cellIs" dxfId="591" priority="180" operator="lessThan">
      <formula>0.8</formula>
    </cfRule>
  </conditionalFormatting>
  <conditionalFormatting sqref="K93:K98">
    <cfRule type="cellIs" dxfId="590" priority="187" operator="greaterThanOrEqual">
      <formula>0.9</formula>
    </cfRule>
    <cfRule type="cellIs" dxfId="589" priority="188" operator="between">
      <formula>0.8</formula>
      <formula>0.9</formula>
    </cfRule>
    <cfRule type="cellIs" dxfId="588" priority="189" operator="lessThan">
      <formula>0.8</formula>
    </cfRule>
  </conditionalFormatting>
  <conditionalFormatting sqref="K100:K108">
    <cfRule type="cellIs" dxfId="587" priority="196" operator="greaterThanOrEqual">
      <formula>0.9</formula>
    </cfRule>
    <cfRule type="cellIs" dxfId="586" priority="197" operator="between">
      <formula>0.8</formula>
      <formula>0.9</formula>
    </cfRule>
    <cfRule type="cellIs" dxfId="585" priority="198" operator="lessThan">
      <formula>0.8</formula>
    </cfRule>
  </conditionalFormatting>
  <conditionalFormatting sqref="K111:K112">
    <cfRule type="cellIs" dxfId="584" priority="223" operator="greaterThanOrEqual">
      <formula>0.9</formula>
    </cfRule>
    <cfRule type="cellIs" dxfId="583" priority="224" operator="between">
      <formula>0.8</formula>
      <formula>0.9</formula>
    </cfRule>
    <cfRule type="cellIs" dxfId="582" priority="225" operator="lessThan">
      <formula>0.8</formula>
    </cfRule>
  </conditionalFormatting>
  <conditionalFormatting sqref="N44:N53">
    <cfRule type="cellIs" dxfId="581" priority="99" operator="lessThan">
      <formula>0.8</formula>
    </cfRule>
    <cfRule type="cellIs" dxfId="580" priority="98" operator="between">
      <formula>0.8</formula>
      <formula>0.9</formula>
    </cfRule>
    <cfRule type="cellIs" dxfId="579" priority="97" operator="greaterThanOrEqual">
      <formula>0.9</formula>
    </cfRule>
  </conditionalFormatting>
  <conditionalFormatting sqref="N55:N60">
    <cfRule type="cellIs" dxfId="578" priority="109" operator="greaterThanOrEqual">
      <formula>0.9</formula>
    </cfRule>
    <cfRule type="cellIs" dxfId="577" priority="110" operator="between">
      <formula>0.8</formula>
      <formula>0.9</formula>
    </cfRule>
    <cfRule type="cellIs" dxfId="576" priority="111" operator="lessThan">
      <formula>0.8</formula>
    </cfRule>
  </conditionalFormatting>
  <conditionalFormatting sqref="N62:N70">
    <cfRule type="cellIs" dxfId="575" priority="121" operator="greaterThanOrEqual">
      <formula>0.9</formula>
    </cfRule>
    <cfRule type="cellIs" dxfId="574" priority="122" operator="between">
      <formula>0.8</formula>
      <formula>0.9</formula>
    </cfRule>
    <cfRule type="cellIs" dxfId="573" priority="123" operator="lessThan">
      <formula>0.8</formula>
    </cfRule>
  </conditionalFormatting>
  <conditionalFormatting sqref="N73:N74">
    <cfRule type="cellIs" dxfId="572" priority="157" operator="greaterThanOrEqual">
      <formula>0.9</formula>
    </cfRule>
    <cfRule type="cellIs" dxfId="571" priority="158" operator="between">
      <formula>0.8</formula>
      <formula>0.9</formula>
    </cfRule>
    <cfRule type="cellIs" dxfId="570" priority="159" operator="lessThan">
      <formula>0.8</formula>
    </cfRule>
  </conditionalFormatting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tabColor theme="5"/>
  </sheetPr>
  <dimension ref="A1:V47"/>
  <sheetViews>
    <sheetView workbookViewId="0">
      <selection activeCell="L34" sqref="L34"/>
    </sheetView>
  </sheetViews>
  <sheetFormatPr defaultRowHeight="14" x14ac:dyDescent="0.25"/>
  <cols>
    <col min="1" max="1" width="26" customWidth="1"/>
    <col min="2" max="11" width="9" customWidth="1"/>
    <col min="12" max="12" width="14.08984375" customWidth="1"/>
    <col min="13" max="22" width="9" customWidth="1"/>
  </cols>
  <sheetData>
    <row r="1" spans="1:22" ht="30" customHeight="1" x14ac:dyDescent="0.25">
      <c r="A1" s="74" t="s">
        <v>159</v>
      </c>
      <c r="B1" s="55"/>
      <c r="C1" s="55"/>
      <c r="D1" s="55"/>
      <c r="E1" s="55"/>
      <c r="F1" s="55"/>
      <c r="G1" s="55"/>
      <c r="H1" s="55"/>
      <c r="I1" s="55"/>
      <c r="J1" s="55"/>
      <c r="K1" s="55"/>
      <c r="L1" s="55"/>
      <c r="M1" s="55"/>
      <c r="N1" s="55"/>
      <c r="O1" s="55"/>
      <c r="P1" s="55"/>
      <c r="Q1" s="55"/>
      <c r="R1" s="55"/>
      <c r="S1" s="55"/>
      <c r="T1" s="55"/>
      <c r="U1" s="55"/>
      <c r="V1" s="55"/>
    </row>
    <row r="2" spans="1:22" ht="6" customHeight="1" x14ac:dyDescent="0.25"/>
    <row r="3" spans="1:22" ht="24" customHeight="1" x14ac:dyDescent="0.25">
      <c r="A3" s="76" t="s">
        <v>160</v>
      </c>
      <c r="B3" s="59"/>
      <c r="C3" s="59"/>
      <c r="D3" s="59"/>
      <c r="E3" s="59"/>
      <c r="F3" s="59"/>
      <c r="G3" s="59"/>
      <c r="H3" s="59"/>
      <c r="I3" s="59"/>
      <c r="J3" s="59"/>
      <c r="K3" s="60"/>
      <c r="L3" s="11"/>
      <c r="M3" s="75" t="s">
        <v>161</v>
      </c>
      <c r="N3" s="59"/>
      <c r="O3" s="59"/>
      <c r="P3" s="59"/>
      <c r="Q3" s="59"/>
      <c r="R3" s="59"/>
      <c r="S3" s="59"/>
      <c r="T3" s="59"/>
      <c r="U3" s="59"/>
      <c r="V3" s="60"/>
    </row>
    <row r="4" spans="1:22" ht="24" customHeight="1" x14ac:dyDescent="0.25">
      <c r="A4" s="12" t="s">
        <v>162</v>
      </c>
      <c r="B4" s="12" t="s">
        <v>7</v>
      </c>
      <c r="C4" s="12" t="s">
        <v>51</v>
      </c>
      <c r="D4" s="12" t="s">
        <v>10</v>
      </c>
      <c r="E4" s="12" t="s">
        <v>11</v>
      </c>
      <c r="F4" s="12" t="s">
        <v>163</v>
      </c>
      <c r="G4" s="12" t="s">
        <v>164</v>
      </c>
      <c r="H4" s="12" t="s">
        <v>165</v>
      </c>
      <c r="I4" s="12" t="s">
        <v>166</v>
      </c>
      <c r="J4" s="12" t="s">
        <v>167</v>
      </c>
      <c r="K4" s="12" t="s">
        <v>168</v>
      </c>
      <c r="M4" s="12" t="s">
        <v>7</v>
      </c>
      <c r="N4" s="12" t="s">
        <v>51</v>
      </c>
      <c r="O4" s="12" t="s">
        <v>10</v>
      </c>
      <c r="P4" s="12" t="s">
        <v>11</v>
      </c>
      <c r="Q4" s="12" t="s">
        <v>163</v>
      </c>
      <c r="R4" s="12" t="s">
        <v>164</v>
      </c>
      <c r="S4" s="12" t="s">
        <v>165</v>
      </c>
      <c r="T4" s="12" t="s">
        <v>166</v>
      </c>
      <c r="U4" s="12" t="s">
        <v>167</v>
      </c>
      <c r="V4" s="12" t="s">
        <v>168</v>
      </c>
    </row>
    <row r="5" spans="1:22" ht="22" customHeight="1" x14ac:dyDescent="0.25">
      <c r="A5" s="13" t="s">
        <v>169</v>
      </c>
      <c r="B5" s="11"/>
      <c r="C5" s="11"/>
      <c r="D5" s="11"/>
      <c r="E5" s="11"/>
      <c r="F5" s="11"/>
      <c r="G5" s="11"/>
      <c r="H5" s="11"/>
      <c r="I5" s="11"/>
      <c r="J5" s="11"/>
      <c r="K5" s="11"/>
      <c r="L5" s="44"/>
      <c r="M5" s="11"/>
      <c r="N5" s="11"/>
      <c r="O5" s="11"/>
      <c r="P5" s="11"/>
      <c r="Q5" s="11"/>
      <c r="R5" s="11"/>
      <c r="S5" s="11"/>
      <c r="T5" s="11"/>
      <c r="U5" s="11"/>
      <c r="V5" s="11"/>
    </row>
    <row r="6" spans="1:22" ht="22" customHeight="1" x14ac:dyDescent="0.25">
      <c r="A6" s="14" t="s">
        <v>170</v>
      </c>
      <c r="B6" s="15">
        <v>415</v>
      </c>
      <c r="C6" s="15">
        <v>5</v>
      </c>
      <c r="D6" s="15">
        <v>5</v>
      </c>
      <c r="E6" s="15">
        <f>IF(AND(C6&lt;&gt;"",D6&lt;&gt;""),D6/C6,"")</f>
        <v>1</v>
      </c>
      <c r="F6" s="15">
        <v>0</v>
      </c>
      <c r="G6" s="15">
        <v>0</v>
      </c>
      <c r="H6" s="15" t="e">
        <f>IF(AND(F6&lt;&gt;"",G6&lt;&gt;""),G6/F6,"")</f>
        <v>#DIV/0!</v>
      </c>
      <c r="I6" s="15">
        <f>C6-F6</f>
        <v>5</v>
      </c>
      <c r="J6" s="15">
        <f>D6-G6</f>
        <v>5</v>
      </c>
      <c r="K6" s="15">
        <f>IF(AND(I6&lt;&gt;"",J6&lt;&gt;""),J6/I6,"")</f>
        <v>1</v>
      </c>
      <c r="L6" s="44"/>
      <c r="M6" s="15"/>
      <c r="N6" s="15"/>
      <c r="O6" s="15"/>
      <c r="P6" s="15" t="str">
        <f>IF(AND(N6&lt;&gt;"",O6&lt;&gt;""),O6/N6,"")</f>
        <v/>
      </c>
      <c r="Q6" s="15"/>
      <c r="R6" s="15"/>
      <c r="S6" s="15" t="str">
        <f>IF(AND(Q6&lt;&gt;"",R6&lt;&gt;""),R6/Q6,"")</f>
        <v/>
      </c>
      <c r="T6" s="15">
        <f>N6-Q6</f>
        <v>0</v>
      </c>
      <c r="U6" s="15">
        <f>O6-R6</f>
        <v>0</v>
      </c>
      <c r="V6" s="15" t="e">
        <f>IF(AND(T6&lt;&gt;"",U6&lt;&gt;""),U6/T6,"")</f>
        <v>#DIV/0!</v>
      </c>
    </row>
    <row r="7" spans="1:22" ht="22" customHeight="1" x14ac:dyDescent="0.25">
      <c r="A7" s="14" t="s">
        <v>171</v>
      </c>
      <c r="B7" s="15">
        <v>416</v>
      </c>
      <c r="C7" s="15">
        <v>18</v>
      </c>
      <c r="D7" s="15">
        <v>13</v>
      </c>
      <c r="E7" s="15">
        <f>IF(AND(C7&lt;&gt;"",D7&lt;&gt;""),D7/C7,"")</f>
        <v>0.72222222222222221</v>
      </c>
      <c r="F7" s="15">
        <v>7</v>
      </c>
      <c r="G7" s="15">
        <v>4</v>
      </c>
      <c r="H7" s="15">
        <f>IF(AND(F7&lt;&gt;"",G7&lt;&gt;""),G7/F7,"")</f>
        <v>0.5714285714285714</v>
      </c>
      <c r="I7" s="15">
        <f>C7-F7</f>
        <v>11</v>
      </c>
      <c r="J7" s="15">
        <f>D7-G7</f>
        <v>9</v>
      </c>
      <c r="K7" s="15">
        <f>IF(AND(I7&lt;&gt;"",J7&lt;&gt;""),J7/I7,"")</f>
        <v>0.81818181818181823</v>
      </c>
      <c r="L7" s="44"/>
      <c r="M7" s="15"/>
      <c r="N7" s="15"/>
      <c r="O7" s="15"/>
      <c r="P7" s="15" t="str">
        <f>IF(AND(N7&lt;&gt;"",O7&lt;&gt;""),O7/N7,"")</f>
        <v/>
      </c>
      <c r="Q7" s="15"/>
      <c r="R7" s="15"/>
      <c r="S7" s="15" t="str">
        <f>IF(AND(Q7&lt;&gt;"",R7&lt;&gt;""),R7/Q7,"")</f>
        <v/>
      </c>
      <c r="T7" s="15">
        <f>N7-Q7</f>
        <v>0</v>
      </c>
      <c r="U7" s="15">
        <f>O7-R7</f>
        <v>0</v>
      </c>
      <c r="V7" s="15" t="e">
        <f>IF(AND(T7&lt;&gt;"",U7&lt;&gt;""),U7/T7,"")</f>
        <v>#DIV/0!</v>
      </c>
    </row>
    <row r="8" spans="1:22" ht="22" customHeight="1" x14ac:dyDescent="0.25">
      <c r="A8" s="13" t="s">
        <v>172</v>
      </c>
      <c r="B8" s="11"/>
      <c r="C8" s="11"/>
      <c r="D8" s="11"/>
      <c r="E8" s="11"/>
      <c r="F8" s="11"/>
      <c r="G8" s="11"/>
      <c r="H8" s="11"/>
      <c r="I8" s="11"/>
      <c r="J8" s="11"/>
      <c r="K8" s="11"/>
      <c r="L8" s="44"/>
      <c r="M8" s="11"/>
      <c r="N8" s="11"/>
      <c r="O8" s="11"/>
      <c r="P8" s="11"/>
      <c r="Q8" s="11"/>
      <c r="R8" s="11"/>
      <c r="S8" s="11"/>
      <c r="T8" s="11"/>
      <c r="U8" s="11"/>
      <c r="V8" s="11"/>
    </row>
    <row r="9" spans="1:22" ht="22" customHeight="1" x14ac:dyDescent="0.25">
      <c r="A9" s="14" t="s">
        <v>173</v>
      </c>
      <c r="B9" s="15">
        <v>417</v>
      </c>
      <c r="C9" s="15">
        <v>4</v>
      </c>
      <c r="D9" s="15">
        <v>4</v>
      </c>
      <c r="E9" s="15">
        <f>IF(AND(C9&lt;&gt;"",D9&lt;&gt;""),D9/C9,"")</f>
        <v>1</v>
      </c>
      <c r="F9" s="15">
        <v>0</v>
      </c>
      <c r="G9" s="15">
        <v>0</v>
      </c>
      <c r="H9" s="15" t="e">
        <f>IF(AND(F9&lt;&gt;"",G9&lt;&gt;""),G9/F9,"")</f>
        <v>#DIV/0!</v>
      </c>
      <c r="I9" s="15">
        <f t="shared" ref="I9:J11" si="0">C9-F9</f>
        <v>4</v>
      </c>
      <c r="J9" s="15">
        <f t="shared" si="0"/>
        <v>4</v>
      </c>
      <c r="K9" s="15">
        <f>IF(AND(I9&lt;&gt;"",J9&lt;&gt;""),J9/I9,"")</f>
        <v>1</v>
      </c>
      <c r="L9" s="44"/>
      <c r="M9" s="15"/>
      <c r="N9" s="15"/>
      <c r="O9" s="15"/>
      <c r="P9" s="15" t="str">
        <f>IF(AND(N9&lt;&gt;"",O9&lt;&gt;""),O9/N9,"")</f>
        <v/>
      </c>
      <c r="Q9" s="15"/>
      <c r="R9" s="15"/>
      <c r="S9" s="15" t="str">
        <f>IF(AND(Q9&lt;&gt;"",R9&lt;&gt;""),R9/Q9,"")</f>
        <v/>
      </c>
      <c r="T9" s="15">
        <f t="shared" ref="T9:U11" si="1">N9-Q9</f>
        <v>0</v>
      </c>
      <c r="U9" s="15">
        <f t="shared" si="1"/>
        <v>0</v>
      </c>
      <c r="V9" s="15" t="e">
        <f>IF(AND(T9&lt;&gt;"",U9&lt;&gt;""),U9/T9,"")</f>
        <v>#DIV/0!</v>
      </c>
    </row>
    <row r="10" spans="1:22" ht="22" customHeight="1" x14ac:dyDescent="0.25">
      <c r="A10" s="14" t="s">
        <v>174</v>
      </c>
      <c r="B10" s="15">
        <v>418</v>
      </c>
      <c r="C10" s="15">
        <v>13</v>
      </c>
      <c r="D10" s="15">
        <v>11</v>
      </c>
      <c r="E10" s="15">
        <f>IF(AND(C10&lt;&gt;"",D10&lt;&gt;""),D10/C10,"")</f>
        <v>0.84615384615384615</v>
      </c>
      <c r="F10" s="15">
        <v>1</v>
      </c>
      <c r="G10" s="15">
        <v>1</v>
      </c>
      <c r="H10" s="15">
        <f>IF(AND(F10&lt;&gt;"",G10&lt;&gt;""),G10/F10,"")</f>
        <v>1</v>
      </c>
      <c r="I10" s="15">
        <f t="shared" si="0"/>
        <v>12</v>
      </c>
      <c r="J10" s="15">
        <f t="shared" si="0"/>
        <v>10</v>
      </c>
      <c r="K10" s="15">
        <f>IF(AND(I10&lt;&gt;"",J10&lt;&gt;""),J10/I10,"")</f>
        <v>0.83333333333333337</v>
      </c>
      <c r="L10" s="44"/>
      <c r="M10" s="15"/>
      <c r="N10" s="15"/>
      <c r="O10" s="15"/>
      <c r="P10" s="15" t="str">
        <f>IF(AND(N10&lt;&gt;"",O10&lt;&gt;""),O10/N10,"")</f>
        <v/>
      </c>
      <c r="Q10" s="15"/>
      <c r="R10" s="15"/>
      <c r="S10" s="15" t="str">
        <f>IF(AND(Q10&lt;&gt;"",R10&lt;&gt;""),R10/Q10,"")</f>
        <v/>
      </c>
      <c r="T10" s="15">
        <f t="shared" si="1"/>
        <v>0</v>
      </c>
      <c r="U10" s="15">
        <f t="shared" si="1"/>
        <v>0</v>
      </c>
      <c r="V10" s="15" t="e">
        <f>IF(AND(T10&lt;&gt;"",U10&lt;&gt;""),U10/T10,"")</f>
        <v>#DIV/0!</v>
      </c>
    </row>
    <row r="11" spans="1:22" ht="22" customHeight="1" x14ac:dyDescent="0.25">
      <c r="A11" s="14" t="s">
        <v>175</v>
      </c>
      <c r="B11" s="15">
        <v>419</v>
      </c>
      <c r="C11" s="15">
        <v>36</v>
      </c>
      <c r="D11" s="15">
        <v>26</v>
      </c>
      <c r="E11" s="15">
        <f>IF(AND(C11&lt;&gt;"",D11&lt;&gt;""),D11/C11,"")</f>
        <v>0.72222222222222221</v>
      </c>
      <c r="F11" s="15">
        <v>5</v>
      </c>
      <c r="G11" s="15">
        <v>2</v>
      </c>
      <c r="H11" s="15">
        <f>IF(AND(F11&lt;&gt;"",G11&lt;&gt;""),G11/F11,"")</f>
        <v>0.4</v>
      </c>
      <c r="I11" s="15">
        <f t="shared" si="0"/>
        <v>31</v>
      </c>
      <c r="J11" s="15">
        <f t="shared" si="0"/>
        <v>24</v>
      </c>
      <c r="K11" s="15">
        <f>IF(AND(I11&lt;&gt;"",J11&lt;&gt;""),J11/I11,"")</f>
        <v>0.77419354838709675</v>
      </c>
      <c r="L11" s="44"/>
      <c r="M11" s="15"/>
      <c r="N11" s="15"/>
      <c r="O11" s="15"/>
      <c r="P11" s="15" t="str">
        <f>IF(AND(N11&lt;&gt;"",O11&lt;&gt;""),O11/N11,"")</f>
        <v/>
      </c>
      <c r="Q11" s="15"/>
      <c r="R11" s="15"/>
      <c r="S11" s="15" t="str">
        <f>IF(AND(Q11&lt;&gt;"",R11&lt;&gt;""),R11/Q11,"")</f>
        <v/>
      </c>
      <c r="T11" s="15">
        <f t="shared" si="1"/>
        <v>0</v>
      </c>
      <c r="U11" s="15">
        <f t="shared" si="1"/>
        <v>0</v>
      </c>
      <c r="V11" s="15" t="e">
        <f>IF(AND(T11&lt;&gt;"",U11&lt;&gt;""),U11/T11,"")</f>
        <v>#DIV/0!</v>
      </c>
    </row>
    <row r="12" spans="1:22" ht="22" customHeight="1" x14ac:dyDescent="0.25">
      <c r="A12" s="13" t="s">
        <v>176</v>
      </c>
      <c r="B12" s="11"/>
      <c r="C12" s="11"/>
      <c r="D12" s="11"/>
      <c r="E12" s="11"/>
      <c r="F12" s="11"/>
      <c r="G12" s="11"/>
      <c r="H12" s="11"/>
      <c r="I12" s="11"/>
      <c r="J12" s="11"/>
      <c r="K12" s="11"/>
      <c r="L12" s="44"/>
      <c r="M12" s="11"/>
      <c r="N12" s="11"/>
      <c r="O12" s="11"/>
      <c r="P12" s="11"/>
      <c r="Q12" s="11"/>
      <c r="R12" s="11"/>
      <c r="S12" s="11"/>
      <c r="T12" s="11"/>
      <c r="U12" s="11"/>
      <c r="V12" s="11"/>
    </row>
    <row r="13" spans="1:22" ht="22" customHeight="1" x14ac:dyDescent="0.25">
      <c r="A13" s="14" t="s">
        <v>177</v>
      </c>
      <c r="B13" s="15">
        <v>420</v>
      </c>
      <c r="C13" s="15">
        <v>31</v>
      </c>
      <c r="D13" s="15">
        <v>29</v>
      </c>
      <c r="E13" s="15">
        <f>IF(AND(C13&lt;&gt;"",D13&lt;&gt;""),D13/C13,"")</f>
        <v>0.93548387096774188</v>
      </c>
      <c r="F13" s="15">
        <v>6</v>
      </c>
      <c r="G13" s="15">
        <v>5</v>
      </c>
      <c r="H13" s="15">
        <f>IF(AND(F13&lt;&gt;"",G13&lt;&gt;""),G13/F13,"")</f>
        <v>0.83333333333333337</v>
      </c>
      <c r="I13" s="15">
        <f t="shared" ref="I13:J16" si="2">C13-F13</f>
        <v>25</v>
      </c>
      <c r="J13" s="15">
        <f t="shared" si="2"/>
        <v>24</v>
      </c>
      <c r="K13" s="15">
        <f>IF(AND(I13&lt;&gt;"",J13&lt;&gt;""),J13/I13,"")</f>
        <v>0.96</v>
      </c>
      <c r="L13" s="44"/>
      <c r="M13" s="15"/>
      <c r="N13" s="15"/>
      <c r="O13" s="15"/>
      <c r="P13" s="15" t="str">
        <f>IF(AND(N13&lt;&gt;"",O13&lt;&gt;""),O13/N13,"")</f>
        <v/>
      </c>
      <c r="Q13" s="15"/>
      <c r="R13" s="15"/>
      <c r="S13" s="15" t="str">
        <f>IF(AND(Q13&lt;&gt;"",R13&lt;&gt;""),R13/Q13,"")</f>
        <v/>
      </c>
      <c r="T13" s="15">
        <f t="shared" ref="T13:U16" si="3">N13-Q13</f>
        <v>0</v>
      </c>
      <c r="U13" s="15">
        <f t="shared" si="3"/>
        <v>0</v>
      </c>
      <c r="V13" s="15" t="e">
        <f>IF(AND(T13&lt;&gt;"",U13&lt;&gt;""),U13/T13,"")</f>
        <v>#DIV/0!</v>
      </c>
    </row>
    <row r="14" spans="1:22" ht="22" customHeight="1" x14ac:dyDescent="0.25">
      <c r="A14" s="14" t="s">
        <v>178</v>
      </c>
      <c r="B14" s="15">
        <v>421</v>
      </c>
      <c r="C14" s="15">
        <v>24</v>
      </c>
      <c r="D14" s="15">
        <v>18</v>
      </c>
      <c r="E14" s="15">
        <f>IF(AND(C14&lt;&gt;"",D14&lt;&gt;""),D14/C14,"")</f>
        <v>0.75</v>
      </c>
      <c r="F14" s="15">
        <v>5</v>
      </c>
      <c r="G14" s="15">
        <v>4</v>
      </c>
      <c r="H14" s="15">
        <f>IF(AND(F14&lt;&gt;"",G14&lt;&gt;""),G14/F14,"")</f>
        <v>0.8</v>
      </c>
      <c r="I14" s="15">
        <f t="shared" si="2"/>
        <v>19</v>
      </c>
      <c r="J14" s="15">
        <f t="shared" si="2"/>
        <v>14</v>
      </c>
      <c r="K14" s="15">
        <f>IF(AND(I14&lt;&gt;"",J14&lt;&gt;""),J14/I14,"")</f>
        <v>0.73684210526315785</v>
      </c>
      <c r="L14" s="44"/>
      <c r="M14" s="15"/>
      <c r="N14" s="15"/>
      <c r="O14" s="15"/>
      <c r="P14" s="15" t="str">
        <f>IF(AND(N14&lt;&gt;"",O14&lt;&gt;""),O14/N14,"")</f>
        <v/>
      </c>
      <c r="Q14" s="15"/>
      <c r="R14" s="15"/>
      <c r="S14" s="15" t="str">
        <f>IF(AND(Q14&lt;&gt;"",R14&lt;&gt;""),R14/Q14,"")</f>
        <v/>
      </c>
      <c r="T14" s="15">
        <f t="shared" si="3"/>
        <v>0</v>
      </c>
      <c r="U14" s="15">
        <f t="shared" si="3"/>
        <v>0</v>
      </c>
      <c r="V14" s="15" t="e">
        <f>IF(AND(T14&lt;&gt;"",U14&lt;&gt;""),U14/T14,"")</f>
        <v>#DIV/0!</v>
      </c>
    </row>
    <row r="15" spans="1:22" ht="22" customHeight="1" x14ac:dyDescent="0.25">
      <c r="A15" s="14" t="s">
        <v>179</v>
      </c>
      <c r="B15" s="15">
        <v>422</v>
      </c>
      <c r="C15" s="15">
        <v>20</v>
      </c>
      <c r="D15" s="15">
        <v>17</v>
      </c>
      <c r="E15" s="15">
        <f>IF(AND(C15&lt;&gt;"",D15&lt;&gt;""),D15/C15,"")</f>
        <v>0.85</v>
      </c>
      <c r="F15" s="15">
        <v>9</v>
      </c>
      <c r="G15" s="15">
        <v>8</v>
      </c>
      <c r="H15" s="15">
        <f>IF(AND(F15&lt;&gt;"",G15&lt;&gt;""),G15/F15,"")</f>
        <v>0.88888888888888884</v>
      </c>
      <c r="I15" s="15">
        <f t="shared" si="2"/>
        <v>11</v>
      </c>
      <c r="J15" s="15">
        <f t="shared" si="2"/>
        <v>9</v>
      </c>
      <c r="K15" s="15">
        <f>IF(AND(I15&lt;&gt;"",J15&lt;&gt;""),J15/I15,"")</f>
        <v>0.81818181818181823</v>
      </c>
      <c r="L15" s="44"/>
      <c r="M15" s="15"/>
      <c r="N15" s="15"/>
      <c r="O15" s="15"/>
      <c r="P15" s="15" t="str">
        <f>IF(AND(N15&lt;&gt;"",O15&lt;&gt;""),O15/N15,"")</f>
        <v/>
      </c>
      <c r="Q15" s="15"/>
      <c r="R15" s="15"/>
      <c r="S15" s="15" t="str">
        <f>IF(AND(Q15&lt;&gt;"",R15&lt;&gt;""),R15/Q15,"")</f>
        <v/>
      </c>
      <c r="T15" s="15">
        <f t="shared" si="3"/>
        <v>0</v>
      </c>
      <c r="U15" s="15">
        <f t="shared" si="3"/>
        <v>0</v>
      </c>
      <c r="V15" s="15" t="e">
        <f>IF(AND(T15&lt;&gt;"",U15&lt;&gt;""),U15/T15,"")</f>
        <v>#DIV/0!</v>
      </c>
    </row>
    <row r="16" spans="1:22" ht="22" customHeight="1" x14ac:dyDescent="0.25">
      <c r="A16" s="14" t="s">
        <v>180</v>
      </c>
      <c r="B16" s="15">
        <v>423</v>
      </c>
      <c r="C16" s="15">
        <v>16</v>
      </c>
      <c r="D16" s="15">
        <v>13</v>
      </c>
      <c r="E16" s="15">
        <f>IF(AND(C16&lt;&gt;"",D16&lt;&gt;""),D16/C16,"")</f>
        <v>0.8125</v>
      </c>
      <c r="F16" s="15">
        <v>6</v>
      </c>
      <c r="G16" s="15">
        <v>4</v>
      </c>
      <c r="H16" s="15">
        <f>IF(AND(F16&lt;&gt;"",G16&lt;&gt;""),G16/F16,"")</f>
        <v>0.66666666666666663</v>
      </c>
      <c r="I16" s="15">
        <f t="shared" si="2"/>
        <v>10</v>
      </c>
      <c r="J16" s="15">
        <f t="shared" si="2"/>
        <v>9</v>
      </c>
      <c r="K16" s="15">
        <f>IF(AND(I16&lt;&gt;"",J16&lt;&gt;""),J16/I16,"")</f>
        <v>0.9</v>
      </c>
      <c r="L16" s="44"/>
      <c r="M16" s="15"/>
      <c r="N16" s="15"/>
      <c r="O16" s="15"/>
      <c r="P16" s="15" t="str">
        <f>IF(AND(N16&lt;&gt;"",O16&lt;&gt;""),O16/N16,"")</f>
        <v/>
      </c>
      <c r="Q16" s="15"/>
      <c r="R16" s="15"/>
      <c r="S16" s="15" t="str">
        <f>IF(AND(Q16&lt;&gt;"",R16&lt;&gt;""),R16/Q16,"")</f>
        <v/>
      </c>
      <c r="T16" s="15">
        <f t="shared" si="3"/>
        <v>0</v>
      </c>
      <c r="U16" s="15">
        <f t="shared" si="3"/>
        <v>0</v>
      </c>
      <c r="V16" s="15" t="e">
        <f>IF(AND(T16&lt;&gt;"",U16&lt;&gt;""),U16/T16,"")</f>
        <v>#DIV/0!</v>
      </c>
    </row>
    <row r="17" spans="1:22" ht="22" customHeight="1" x14ac:dyDescent="0.25">
      <c r="A17" s="13" t="s">
        <v>181</v>
      </c>
      <c r="B17" s="11"/>
      <c r="C17" s="11"/>
      <c r="D17" s="11"/>
      <c r="E17" s="11"/>
      <c r="F17" s="11"/>
      <c r="G17" s="11"/>
      <c r="H17" s="11"/>
      <c r="I17" s="11"/>
      <c r="J17" s="11"/>
      <c r="K17" s="11"/>
      <c r="L17" s="44"/>
      <c r="M17" s="11"/>
      <c r="N17" s="11"/>
      <c r="O17" s="11"/>
      <c r="P17" s="11"/>
      <c r="Q17" s="11"/>
      <c r="R17" s="11"/>
      <c r="S17" s="11"/>
      <c r="T17" s="11"/>
      <c r="U17" s="11"/>
      <c r="V17" s="11"/>
    </row>
    <row r="18" spans="1:22" ht="22" customHeight="1" x14ac:dyDescent="0.25">
      <c r="A18" s="14" t="s">
        <v>182</v>
      </c>
      <c r="B18" s="15">
        <v>424</v>
      </c>
      <c r="C18" s="15">
        <v>0</v>
      </c>
      <c r="D18" s="15">
        <v>0</v>
      </c>
      <c r="E18" s="15" t="e">
        <f>IF(AND(C18&lt;&gt;"",D18&lt;&gt;""),D18/C18,"")</f>
        <v>#DIV/0!</v>
      </c>
      <c r="F18" s="15">
        <v>0</v>
      </c>
      <c r="G18" s="15">
        <v>0</v>
      </c>
      <c r="H18" s="15" t="e">
        <f>IF(AND(F18&lt;&gt;"",G18&lt;&gt;""),G18/F18,"")</f>
        <v>#DIV/0!</v>
      </c>
      <c r="I18" s="15">
        <f>C18-F18</f>
        <v>0</v>
      </c>
      <c r="J18" s="15">
        <f>D18-G18</f>
        <v>0</v>
      </c>
      <c r="K18" s="15" t="e">
        <f>IF(AND(I18&lt;&gt;"",J18&lt;&gt;""),J18/I18,"")</f>
        <v>#DIV/0!</v>
      </c>
      <c r="L18" s="44"/>
      <c r="M18" s="15"/>
      <c r="N18" s="15"/>
      <c r="O18" s="15"/>
      <c r="P18" s="15" t="str">
        <f>IF(AND(N18&lt;&gt;"",O18&lt;&gt;""),O18/N18,"")</f>
        <v/>
      </c>
      <c r="Q18" s="15"/>
      <c r="R18" s="15"/>
      <c r="S18" s="15" t="str">
        <f>IF(AND(Q18&lt;&gt;"",R18&lt;&gt;""),R18/Q18,"")</f>
        <v/>
      </c>
      <c r="T18" s="15">
        <f>N18-Q18</f>
        <v>0</v>
      </c>
      <c r="U18" s="15">
        <f>O18-R18</f>
        <v>0</v>
      </c>
      <c r="V18" s="15" t="e">
        <f>IF(AND(T18&lt;&gt;"",U18&lt;&gt;""),U18/T18,"")</f>
        <v>#DIV/0!</v>
      </c>
    </row>
    <row r="19" spans="1:22" ht="22" customHeight="1" x14ac:dyDescent="0.25">
      <c r="A19" s="14" t="s">
        <v>183</v>
      </c>
      <c r="B19" s="15">
        <v>424</v>
      </c>
      <c r="C19" s="15">
        <v>12</v>
      </c>
      <c r="D19" s="15">
        <v>10</v>
      </c>
      <c r="E19" s="15">
        <f>IF(AND(C19&lt;&gt;"",D19&lt;&gt;""),D19/C19,"")</f>
        <v>0.83333333333333337</v>
      </c>
      <c r="F19" s="15">
        <v>3</v>
      </c>
      <c r="G19" s="15">
        <v>3</v>
      </c>
      <c r="H19" s="15">
        <f>IF(AND(F19&lt;&gt;"",G19&lt;&gt;""),G19/F19,"")</f>
        <v>1</v>
      </c>
      <c r="I19" s="15">
        <f>C19-F19</f>
        <v>9</v>
      </c>
      <c r="J19" s="15">
        <f>D19-G19</f>
        <v>7</v>
      </c>
      <c r="K19" s="15">
        <f>IF(AND(I19&lt;&gt;"",J19&lt;&gt;""),J19/I19,"")</f>
        <v>0.77777777777777779</v>
      </c>
      <c r="L19" s="44"/>
      <c r="M19" s="15"/>
      <c r="N19" s="15"/>
      <c r="O19" s="15"/>
      <c r="P19" s="15" t="str">
        <f>IF(AND(N19&lt;&gt;"",O19&lt;&gt;""),O19/N19,"")</f>
        <v/>
      </c>
      <c r="Q19" s="15"/>
      <c r="R19" s="15"/>
      <c r="S19" s="15" t="str">
        <f>IF(AND(Q19&lt;&gt;"",R19&lt;&gt;""),R19/Q19,"")</f>
        <v/>
      </c>
      <c r="T19" s="15">
        <f>N19-Q19</f>
        <v>0</v>
      </c>
      <c r="U19" s="15">
        <f>O19-R19</f>
        <v>0</v>
      </c>
      <c r="V19" s="15" t="e">
        <f>IF(AND(T19&lt;&gt;"",U19&lt;&gt;""),U19/T19,"")</f>
        <v>#DIV/0!</v>
      </c>
    </row>
    <row r="20" spans="1:22" ht="22" customHeight="1" x14ac:dyDescent="0.25">
      <c r="A20" s="13" t="s">
        <v>184</v>
      </c>
      <c r="B20" s="11"/>
      <c r="C20" s="11"/>
      <c r="D20" s="11"/>
      <c r="E20" s="11"/>
      <c r="F20" s="11"/>
      <c r="G20" s="11"/>
      <c r="H20" s="11"/>
      <c r="I20" s="11"/>
      <c r="J20" s="11"/>
      <c r="K20" s="11"/>
      <c r="L20" s="44"/>
      <c r="M20" s="11"/>
      <c r="N20" s="11"/>
      <c r="O20" s="11"/>
      <c r="P20" s="11"/>
      <c r="Q20" s="11"/>
      <c r="R20" s="11"/>
      <c r="S20" s="11"/>
      <c r="T20" s="11"/>
      <c r="U20" s="11"/>
      <c r="V20" s="11"/>
    </row>
    <row r="21" spans="1:22" ht="22" customHeight="1" x14ac:dyDescent="0.25">
      <c r="A21" s="14" t="s">
        <v>185</v>
      </c>
      <c r="B21" s="15">
        <v>425</v>
      </c>
      <c r="C21" s="15">
        <v>10</v>
      </c>
      <c r="D21" s="15">
        <v>8</v>
      </c>
      <c r="E21" s="15">
        <f>IF(AND(C21&lt;&gt;"",D21&lt;&gt;""),D21/C21,"")</f>
        <v>0.8</v>
      </c>
      <c r="F21" s="15">
        <v>2</v>
      </c>
      <c r="G21" s="15">
        <v>1</v>
      </c>
      <c r="H21" s="15">
        <f>IF(AND(F21&lt;&gt;"",G21&lt;&gt;""),G21/F21,"")</f>
        <v>0.5</v>
      </c>
      <c r="I21" s="15">
        <f t="shared" ref="I21:J25" si="4">C21-F21</f>
        <v>8</v>
      </c>
      <c r="J21" s="15">
        <f t="shared" si="4"/>
        <v>7</v>
      </c>
      <c r="K21" s="15">
        <f>IF(AND(I21&lt;&gt;"",J21&lt;&gt;""),J21/I21,"")</f>
        <v>0.875</v>
      </c>
      <c r="L21" s="44"/>
      <c r="M21" s="15"/>
      <c r="N21" s="15"/>
      <c r="O21" s="15"/>
      <c r="P21" s="15" t="str">
        <f>IF(AND(N21&lt;&gt;"",O21&lt;&gt;""),O21/N21,"")</f>
        <v/>
      </c>
      <c r="Q21" s="15"/>
      <c r="R21" s="15"/>
      <c r="S21" s="15" t="str">
        <f>IF(AND(Q21&lt;&gt;"",R21&lt;&gt;""),R21/Q21,"")</f>
        <v/>
      </c>
      <c r="T21" s="15">
        <f t="shared" ref="T21:U25" si="5">N21-Q21</f>
        <v>0</v>
      </c>
      <c r="U21" s="15">
        <f t="shared" si="5"/>
        <v>0</v>
      </c>
      <c r="V21" s="15" t="e">
        <f>IF(AND(T21&lt;&gt;"",U21&lt;&gt;""),U21/T21,"")</f>
        <v>#DIV/0!</v>
      </c>
    </row>
    <row r="22" spans="1:22" ht="22" customHeight="1" x14ac:dyDescent="0.25">
      <c r="A22" s="14" t="s">
        <v>186</v>
      </c>
      <c r="B22" s="15">
        <v>425</v>
      </c>
      <c r="C22" s="15">
        <v>30</v>
      </c>
      <c r="D22" s="15">
        <v>24</v>
      </c>
      <c r="E22" s="15">
        <f>IF(AND(C22&lt;&gt;"",D22&lt;&gt;""),D22/C22,"")</f>
        <v>0.8</v>
      </c>
      <c r="F22" s="15">
        <v>6</v>
      </c>
      <c r="G22" s="15">
        <v>4</v>
      </c>
      <c r="H22" s="15">
        <f>IF(AND(F22&lt;&gt;"",G22&lt;&gt;""),G22/F22,"")</f>
        <v>0.66666666666666663</v>
      </c>
      <c r="I22" s="15">
        <f t="shared" si="4"/>
        <v>24</v>
      </c>
      <c r="J22" s="15">
        <f t="shared" si="4"/>
        <v>20</v>
      </c>
      <c r="K22" s="15">
        <f>IF(AND(I22&lt;&gt;"",J22&lt;&gt;""),J22/I22,"")</f>
        <v>0.83333333333333337</v>
      </c>
      <c r="L22" s="44"/>
      <c r="M22" s="15"/>
      <c r="N22" s="15"/>
      <c r="O22" s="15"/>
      <c r="P22" s="15" t="str">
        <f>IF(AND(N22&lt;&gt;"",O22&lt;&gt;""),O22/N22,"")</f>
        <v/>
      </c>
      <c r="Q22" s="15"/>
      <c r="R22" s="15"/>
      <c r="S22" s="15" t="str">
        <f>IF(AND(Q22&lt;&gt;"",R22&lt;&gt;""),R22/Q22,"")</f>
        <v/>
      </c>
      <c r="T22" s="15">
        <f t="shared" si="5"/>
        <v>0</v>
      </c>
      <c r="U22" s="15">
        <f t="shared" si="5"/>
        <v>0</v>
      </c>
      <c r="V22" s="15" t="e">
        <f>IF(AND(T22&lt;&gt;"",U22&lt;&gt;""),U22/T22,"")</f>
        <v>#DIV/0!</v>
      </c>
    </row>
    <row r="23" spans="1:22" ht="22" customHeight="1" x14ac:dyDescent="0.25">
      <c r="A23" s="14" t="s">
        <v>187</v>
      </c>
      <c r="B23" s="15">
        <v>426</v>
      </c>
      <c r="C23" s="15">
        <v>43</v>
      </c>
      <c r="D23" s="15">
        <v>40</v>
      </c>
      <c r="E23" s="15">
        <f>IF(AND(C23&lt;&gt;"",D23&lt;&gt;""),D23/C23,"")</f>
        <v>0.93023255813953487</v>
      </c>
      <c r="F23" s="15">
        <v>12</v>
      </c>
      <c r="G23" s="15">
        <v>11</v>
      </c>
      <c r="H23" s="15">
        <f>IF(AND(F23&lt;&gt;"",G23&lt;&gt;""),G23/F23,"")</f>
        <v>0.91666666666666663</v>
      </c>
      <c r="I23" s="15">
        <f t="shared" si="4"/>
        <v>31</v>
      </c>
      <c r="J23" s="15">
        <f t="shared" si="4"/>
        <v>29</v>
      </c>
      <c r="K23" s="15">
        <f>IF(AND(I23&lt;&gt;"",J23&lt;&gt;""),J23/I23,"")</f>
        <v>0.93548387096774188</v>
      </c>
      <c r="L23" s="44"/>
      <c r="M23" s="15"/>
      <c r="N23" s="15"/>
      <c r="O23" s="15"/>
      <c r="P23" s="15" t="str">
        <f>IF(AND(N23&lt;&gt;"",O23&lt;&gt;""),O23/N23,"")</f>
        <v/>
      </c>
      <c r="Q23" s="15"/>
      <c r="R23" s="15"/>
      <c r="S23" s="15" t="str">
        <f>IF(AND(Q23&lt;&gt;"",R23&lt;&gt;""),R23/Q23,"")</f>
        <v/>
      </c>
      <c r="T23" s="15">
        <f t="shared" si="5"/>
        <v>0</v>
      </c>
      <c r="U23" s="15">
        <f t="shared" si="5"/>
        <v>0</v>
      </c>
      <c r="V23" s="15" t="e">
        <f>IF(AND(T23&lt;&gt;"",U23&lt;&gt;""),U23/T23,"")</f>
        <v>#DIV/0!</v>
      </c>
    </row>
    <row r="24" spans="1:22" ht="22" customHeight="1" x14ac:dyDescent="0.25">
      <c r="A24" s="14" t="s">
        <v>188</v>
      </c>
      <c r="B24" s="15">
        <v>427</v>
      </c>
      <c r="C24" s="15">
        <v>21</v>
      </c>
      <c r="D24" s="15">
        <v>20</v>
      </c>
      <c r="E24" s="15">
        <f>IF(AND(C24&lt;&gt;"",D24&lt;&gt;""),D24/C24,"")</f>
        <v>0.95238095238095233</v>
      </c>
      <c r="F24" s="15">
        <v>7</v>
      </c>
      <c r="G24" s="15">
        <v>7</v>
      </c>
      <c r="H24" s="15">
        <f>IF(AND(F24&lt;&gt;"",G24&lt;&gt;""),G24/F24,"")</f>
        <v>1</v>
      </c>
      <c r="I24" s="15">
        <f t="shared" si="4"/>
        <v>14</v>
      </c>
      <c r="J24" s="15">
        <f t="shared" si="4"/>
        <v>13</v>
      </c>
      <c r="K24" s="15">
        <f>IF(AND(I24&lt;&gt;"",J24&lt;&gt;""),J24/I24,"")</f>
        <v>0.9285714285714286</v>
      </c>
      <c r="L24" s="44"/>
      <c r="M24" s="15"/>
      <c r="N24" s="15"/>
      <c r="O24" s="15"/>
      <c r="P24" s="15" t="str">
        <f>IF(AND(N24&lt;&gt;"",O24&lt;&gt;""),O24/N24,"")</f>
        <v/>
      </c>
      <c r="Q24" s="15"/>
      <c r="R24" s="15"/>
      <c r="S24" s="15" t="str">
        <f>IF(AND(Q24&lt;&gt;"",R24&lt;&gt;""),R24/Q24,"")</f>
        <v/>
      </c>
      <c r="T24" s="15">
        <f t="shared" si="5"/>
        <v>0</v>
      </c>
      <c r="U24" s="15">
        <f t="shared" si="5"/>
        <v>0</v>
      </c>
      <c r="V24" s="15" t="e">
        <f>IF(AND(T24&lt;&gt;"",U24&lt;&gt;""),U24/T24,"")</f>
        <v>#DIV/0!</v>
      </c>
    </row>
    <row r="25" spans="1:22" ht="22" customHeight="1" x14ac:dyDescent="0.25">
      <c r="A25" s="14" t="s">
        <v>189</v>
      </c>
      <c r="B25" s="15">
        <v>428</v>
      </c>
      <c r="C25" s="15">
        <v>23</v>
      </c>
      <c r="D25" s="15">
        <v>20</v>
      </c>
      <c r="E25" s="15">
        <f>IF(AND(C25&lt;&gt;"",D25&lt;&gt;""),D25/C25,"")</f>
        <v>0.86956521739130432</v>
      </c>
      <c r="F25" s="15">
        <v>10</v>
      </c>
      <c r="G25" s="15">
        <v>9</v>
      </c>
      <c r="H25" s="15">
        <f>IF(AND(F25&lt;&gt;"",G25&lt;&gt;""),G25/F25,"")</f>
        <v>0.9</v>
      </c>
      <c r="I25" s="15">
        <f t="shared" si="4"/>
        <v>13</v>
      </c>
      <c r="J25" s="15">
        <f t="shared" si="4"/>
        <v>11</v>
      </c>
      <c r="K25" s="15">
        <f>IF(AND(I25&lt;&gt;"",J25&lt;&gt;""),J25/I25,"")</f>
        <v>0.84615384615384615</v>
      </c>
      <c r="L25" s="44"/>
      <c r="M25" s="15"/>
      <c r="N25" s="15"/>
      <c r="O25" s="15"/>
      <c r="P25" s="15" t="str">
        <f>IF(AND(N25&lt;&gt;"",O25&lt;&gt;""),O25/N25,"")</f>
        <v/>
      </c>
      <c r="Q25" s="15"/>
      <c r="R25" s="15"/>
      <c r="S25" s="15" t="str">
        <f>IF(AND(Q25&lt;&gt;"",R25&lt;&gt;""),R25/Q25,"")</f>
        <v/>
      </c>
      <c r="T25" s="15">
        <f t="shared" si="5"/>
        <v>0</v>
      </c>
      <c r="U25" s="15">
        <f t="shared" si="5"/>
        <v>0</v>
      </c>
      <c r="V25" s="15" t="e">
        <f>IF(AND(T25&lt;&gt;"",U25&lt;&gt;""),U25/T25,"")</f>
        <v>#DIV/0!</v>
      </c>
    </row>
    <row r="26" spans="1:22" ht="22" customHeight="1" x14ac:dyDescent="0.25">
      <c r="A26" s="13" t="s">
        <v>190</v>
      </c>
      <c r="B26" s="11"/>
      <c r="C26" s="11"/>
      <c r="D26" s="11"/>
      <c r="E26" s="11"/>
      <c r="F26" s="11"/>
      <c r="G26" s="11"/>
      <c r="H26" s="11"/>
      <c r="I26" s="11"/>
      <c r="J26" s="11"/>
      <c r="K26" s="11"/>
      <c r="L26" s="44"/>
      <c r="M26" s="11"/>
      <c r="N26" s="11"/>
      <c r="O26" s="11"/>
      <c r="P26" s="11"/>
      <c r="Q26" s="11"/>
      <c r="R26" s="11"/>
      <c r="S26" s="11"/>
      <c r="T26" s="11"/>
      <c r="U26" s="11"/>
      <c r="V26" s="11"/>
    </row>
    <row r="27" spans="1:22" ht="22" customHeight="1" x14ac:dyDescent="0.25">
      <c r="A27" s="14" t="s">
        <v>191</v>
      </c>
      <c r="B27" s="15">
        <v>429</v>
      </c>
      <c r="C27" s="15">
        <v>18</v>
      </c>
      <c r="D27" s="15">
        <v>17</v>
      </c>
      <c r="E27" s="15">
        <f>IF(AND(C27&lt;&gt;"",D27&lt;&gt;""),D27/C27,"")</f>
        <v>0.94444444444444442</v>
      </c>
      <c r="F27" s="15">
        <v>4</v>
      </c>
      <c r="G27" s="15">
        <v>3</v>
      </c>
      <c r="H27" s="15">
        <f>IF(AND(F27&lt;&gt;"",G27&lt;&gt;""),G27/F27,"")</f>
        <v>0.75</v>
      </c>
      <c r="I27" s="15">
        <f t="shared" ref="I27:J30" si="6">C27-F27</f>
        <v>14</v>
      </c>
      <c r="J27" s="15">
        <f t="shared" si="6"/>
        <v>14</v>
      </c>
      <c r="K27" s="15">
        <f>IF(AND(I27&lt;&gt;"",J27&lt;&gt;""),J27/I27,"")</f>
        <v>1</v>
      </c>
      <c r="L27" s="44"/>
      <c r="M27" s="15"/>
      <c r="N27" s="15"/>
      <c r="O27" s="15"/>
      <c r="P27" s="15" t="str">
        <f>IF(AND(N27&lt;&gt;"",O27&lt;&gt;""),O27/N27,"")</f>
        <v/>
      </c>
      <c r="Q27" s="15"/>
      <c r="R27" s="15"/>
      <c r="S27" s="15" t="str">
        <f>IF(AND(Q27&lt;&gt;"",R27&lt;&gt;""),R27/Q27,"")</f>
        <v/>
      </c>
      <c r="T27" s="15">
        <f t="shared" ref="T27:U30" si="7">N27-Q27</f>
        <v>0</v>
      </c>
      <c r="U27" s="15">
        <f t="shared" si="7"/>
        <v>0</v>
      </c>
      <c r="V27" s="15" t="e">
        <f>IF(AND(T27&lt;&gt;"",U27&lt;&gt;""),U27/T27,"")</f>
        <v>#DIV/0!</v>
      </c>
    </row>
    <row r="28" spans="1:22" ht="22" customHeight="1" x14ac:dyDescent="0.25">
      <c r="A28" s="14" t="s">
        <v>192</v>
      </c>
      <c r="B28" s="15">
        <v>430</v>
      </c>
      <c r="C28" s="15">
        <v>20</v>
      </c>
      <c r="D28" s="15">
        <v>19</v>
      </c>
      <c r="E28" s="15">
        <f>IF(AND(C28&lt;&gt;"",D28&lt;&gt;""),D28/C28,"")</f>
        <v>0.95</v>
      </c>
      <c r="F28" s="15">
        <v>2</v>
      </c>
      <c r="G28" s="15">
        <v>2</v>
      </c>
      <c r="H28" s="15">
        <f>IF(AND(F28&lt;&gt;"",G28&lt;&gt;""),G28/F28,"")</f>
        <v>1</v>
      </c>
      <c r="I28" s="15">
        <f t="shared" si="6"/>
        <v>18</v>
      </c>
      <c r="J28" s="15">
        <f t="shared" si="6"/>
        <v>17</v>
      </c>
      <c r="K28" s="15">
        <f>IF(AND(I28&lt;&gt;"",J28&lt;&gt;""),J28/I28,"")</f>
        <v>0.94444444444444442</v>
      </c>
      <c r="L28" s="44"/>
      <c r="M28" s="15"/>
      <c r="N28" s="15"/>
      <c r="O28" s="15"/>
      <c r="P28" s="15" t="str">
        <f>IF(AND(N28&lt;&gt;"",O28&lt;&gt;""),O28/N28,"")</f>
        <v/>
      </c>
      <c r="Q28" s="15"/>
      <c r="R28" s="15"/>
      <c r="S28" s="15" t="str">
        <f>IF(AND(Q28&lt;&gt;"",R28&lt;&gt;""),R28/Q28,"")</f>
        <v/>
      </c>
      <c r="T28" s="15">
        <f t="shared" si="7"/>
        <v>0</v>
      </c>
      <c r="U28" s="15">
        <f t="shared" si="7"/>
        <v>0</v>
      </c>
      <c r="V28" s="15" t="e">
        <f>IF(AND(T28&lt;&gt;"",U28&lt;&gt;""),U28/T28,"")</f>
        <v>#DIV/0!</v>
      </c>
    </row>
    <row r="29" spans="1:22" ht="22" customHeight="1" x14ac:dyDescent="0.25">
      <c r="A29" s="14" t="s">
        <v>193</v>
      </c>
      <c r="B29" s="15">
        <v>501</v>
      </c>
      <c r="C29" s="15">
        <v>18</v>
      </c>
      <c r="D29" s="15">
        <v>14</v>
      </c>
      <c r="E29" s="15">
        <f>IF(AND(C29&lt;&gt;"",D29&lt;&gt;""),D29/C29,"")</f>
        <v>0.77777777777777779</v>
      </c>
      <c r="F29" s="15">
        <v>4</v>
      </c>
      <c r="G29" s="15">
        <v>3</v>
      </c>
      <c r="H29" s="15">
        <f>IF(AND(F29&lt;&gt;"",G29&lt;&gt;""),G29/F29,"")</f>
        <v>0.75</v>
      </c>
      <c r="I29" s="15">
        <f t="shared" si="6"/>
        <v>14</v>
      </c>
      <c r="J29" s="15">
        <f t="shared" si="6"/>
        <v>11</v>
      </c>
      <c r="K29" s="15">
        <f>IF(AND(I29&lt;&gt;"",J29&lt;&gt;""),J29/I29,"")</f>
        <v>0.7857142857142857</v>
      </c>
      <c r="L29" s="44"/>
      <c r="M29" s="15"/>
      <c r="N29" s="15"/>
      <c r="O29" s="15"/>
      <c r="P29" s="15" t="str">
        <f>IF(AND(N29&lt;&gt;"",O29&lt;&gt;""),O29/N29,"")</f>
        <v/>
      </c>
      <c r="Q29" s="15"/>
      <c r="R29" s="15"/>
      <c r="S29" s="15" t="str">
        <f>IF(AND(Q29&lt;&gt;"",R29&lt;&gt;""),R29/Q29,"")</f>
        <v/>
      </c>
      <c r="T29" s="15">
        <f t="shared" si="7"/>
        <v>0</v>
      </c>
      <c r="U29" s="15">
        <f t="shared" si="7"/>
        <v>0</v>
      </c>
      <c r="V29" s="15" t="e">
        <f>IF(AND(T29&lt;&gt;"",U29&lt;&gt;""),U29/T29,"")</f>
        <v>#DIV/0!</v>
      </c>
    </row>
    <row r="30" spans="1:22" ht="22" customHeight="1" x14ac:dyDescent="0.25">
      <c r="A30" s="14" t="s">
        <v>194</v>
      </c>
      <c r="B30" s="15">
        <v>502</v>
      </c>
      <c r="C30" s="15">
        <v>47</v>
      </c>
      <c r="D30" s="15">
        <v>40</v>
      </c>
      <c r="E30" s="15">
        <f>IF(AND(C30&lt;&gt;"",D30&lt;&gt;""),D30/C30,"")</f>
        <v>0.85106382978723405</v>
      </c>
      <c r="F30" s="15">
        <v>21</v>
      </c>
      <c r="G30" s="15">
        <v>18</v>
      </c>
      <c r="H30" s="15">
        <f>IF(AND(F30&lt;&gt;"",G30&lt;&gt;""),G30/F30,"")</f>
        <v>0.8571428571428571</v>
      </c>
      <c r="I30" s="15">
        <f t="shared" si="6"/>
        <v>26</v>
      </c>
      <c r="J30" s="15">
        <f t="shared" si="6"/>
        <v>22</v>
      </c>
      <c r="K30" s="15">
        <f>IF(AND(I30&lt;&gt;"",J30&lt;&gt;""),J30/I30,"")</f>
        <v>0.84615384615384615</v>
      </c>
      <c r="L30" s="44"/>
      <c r="M30" s="15"/>
      <c r="N30" s="15"/>
      <c r="O30" s="15"/>
      <c r="P30" s="15" t="str">
        <f>IF(AND(N30&lt;&gt;"",O30&lt;&gt;""),O30/N30,"")</f>
        <v/>
      </c>
      <c r="Q30" s="15"/>
      <c r="R30" s="15"/>
      <c r="S30" s="15" t="str">
        <f>IF(AND(Q30&lt;&gt;"",R30&lt;&gt;""),R30/Q30,"")</f>
        <v/>
      </c>
      <c r="T30" s="15">
        <f t="shared" si="7"/>
        <v>0</v>
      </c>
      <c r="U30" s="15">
        <f t="shared" si="7"/>
        <v>0</v>
      </c>
      <c r="V30" s="15" t="e">
        <f>IF(AND(T30&lt;&gt;"",U30&lt;&gt;""),U30/T30,"")</f>
        <v>#DIV/0!</v>
      </c>
    </row>
    <row r="31" spans="1:22" ht="22" customHeight="1" x14ac:dyDescent="0.25">
      <c r="A31" s="13" t="s">
        <v>195</v>
      </c>
      <c r="B31" s="11"/>
      <c r="C31" s="11"/>
      <c r="D31" s="11"/>
      <c r="E31" s="11"/>
      <c r="F31" s="11"/>
      <c r="G31" s="11"/>
      <c r="H31" s="11"/>
      <c r="I31" s="11"/>
      <c r="J31" s="11"/>
      <c r="K31" s="11"/>
      <c r="L31" s="44"/>
      <c r="M31" s="11"/>
      <c r="N31" s="11"/>
      <c r="O31" s="11"/>
      <c r="P31" s="11"/>
      <c r="Q31" s="11"/>
      <c r="R31" s="11"/>
      <c r="S31" s="11"/>
      <c r="T31" s="11"/>
      <c r="U31" s="11"/>
      <c r="V31" s="11"/>
    </row>
    <row r="32" spans="1:22" ht="22" customHeight="1" x14ac:dyDescent="0.25">
      <c r="A32" s="14" t="s">
        <v>196</v>
      </c>
      <c r="B32" s="15">
        <v>503</v>
      </c>
      <c r="C32" s="15">
        <v>0</v>
      </c>
      <c r="D32" s="15">
        <v>0</v>
      </c>
      <c r="E32" s="15" t="e">
        <f>IF(AND(C32&lt;&gt;"",D32&lt;&gt;""),D32/C32,"")</f>
        <v>#DIV/0!</v>
      </c>
      <c r="F32" s="15">
        <v>0</v>
      </c>
      <c r="G32" s="15">
        <v>0</v>
      </c>
      <c r="H32" s="15" t="e">
        <f>IF(AND(F32&lt;&gt;"",G32&lt;&gt;""),G32/F32,"")</f>
        <v>#DIV/0!</v>
      </c>
      <c r="I32" s="15">
        <f t="shared" ref="I32:J36" si="8">C32-F32</f>
        <v>0</v>
      </c>
      <c r="J32" s="15">
        <f t="shared" si="8"/>
        <v>0</v>
      </c>
      <c r="K32" s="15" t="e">
        <f>IF(AND(I32&lt;&gt;"",J32&lt;&gt;""),J32/I32,"")</f>
        <v>#DIV/0!</v>
      </c>
      <c r="L32" s="44"/>
      <c r="M32" s="15"/>
      <c r="N32" s="15"/>
      <c r="O32" s="15"/>
      <c r="P32" s="15" t="str">
        <f>IF(AND(N32&lt;&gt;"",O32&lt;&gt;""),O32/N32,"")</f>
        <v/>
      </c>
      <c r="Q32" s="15"/>
      <c r="R32" s="15"/>
      <c r="S32" s="15" t="str">
        <f>IF(AND(Q32&lt;&gt;"",R32&lt;&gt;""),R32/Q32,"")</f>
        <v/>
      </c>
      <c r="T32" s="15">
        <f t="shared" ref="T32:U36" si="9">N32-Q32</f>
        <v>0</v>
      </c>
      <c r="U32" s="15">
        <f t="shared" si="9"/>
        <v>0</v>
      </c>
      <c r="V32" s="15" t="e">
        <f>IF(AND(T32&lt;&gt;"",U32&lt;&gt;""),U32/T32,"")</f>
        <v>#DIV/0!</v>
      </c>
    </row>
    <row r="33" spans="1:22" ht="22" customHeight="1" x14ac:dyDescent="0.25">
      <c r="A33" s="14" t="s">
        <v>197</v>
      </c>
      <c r="B33" s="15">
        <v>503</v>
      </c>
      <c r="C33" s="15">
        <v>26</v>
      </c>
      <c r="D33" s="15">
        <v>23</v>
      </c>
      <c r="E33" s="15">
        <f>IF(AND(C33&lt;&gt;"",D33&lt;&gt;""),D33/C33,"")</f>
        <v>0.88461538461538458</v>
      </c>
      <c r="F33" s="15">
        <v>7</v>
      </c>
      <c r="G33" s="15">
        <v>6</v>
      </c>
      <c r="H33" s="15">
        <f>IF(AND(F33&lt;&gt;"",G33&lt;&gt;""),G33/F33,"")</f>
        <v>0.8571428571428571</v>
      </c>
      <c r="I33" s="15">
        <f t="shared" si="8"/>
        <v>19</v>
      </c>
      <c r="J33" s="15">
        <f t="shared" si="8"/>
        <v>17</v>
      </c>
      <c r="K33" s="15">
        <f>IF(AND(I33&lt;&gt;"",J33&lt;&gt;""),J33/I33,"")</f>
        <v>0.89473684210526316</v>
      </c>
      <c r="L33" s="44"/>
      <c r="M33" s="15"/>
      <c r="N33" s="15"/>
      <c r="O33" s="15"/>
      <c r="P33" s="15" t="str">
        <f>IF(AND(N33&lt;&gt;"",O33&lt;&gt;""),O33/N33,"")</f>
        <v/>
      </c>
      <c r="Q33" s="15"/>
      <c r="R33" s="15"/>
      <c r="S33" s="15" t="str">
        <f>IF(AND(Q33&lt;&gt;"",R33&lt;&gt;""),R33/Q33,"")</f>
        <v/>
      </c>
      <c r="T33" s="15">
        <f t="shared" si="9"/>
        <v>0</v>
      </c>
      <c r="U33" s="15">
        <f t="shared" si="9"/>
        <v>0</v>
      </c>
      <c r="V33" s="15" t="e">
        <f>IF(AND(T33&lt;&gt;"",U33&lt;&gt;""),U33/T33,"")</f>
        <v>#DIV/0!</v>
      </c>
    </row>
    <row r="34" spans="1:22" ht="22" customHeight="1" x14ac:dyDescent="0.25">
      <c r="A34" s="42" t="s">
        <v>198</v>
      </c>
      <c r="B34" s="15">
        <v>503</v>
      </c>
      <c r="C34" s="15">
        <v>27</v>
      </c>
      <c r="D34" s="15">
        <v>20</v>
      </c>
      <c r="E34" s="15">
        <f>IF(AND(C34&lt;&gt;"",D34&lt;&gt;""),D34/C34,"")</f>
        <v>0.7407407407407407</v>
      </c>
      <c r="F34" s="15">
        <v>12</v>
      </c>
      <c r="G34" s="15">
        <v>10</v>
      </c>
      <c r="H34" s="15">
        <f>IF(AND(F34&lt;&gt;"",G34&lt;&gt;""),G34/F34,"")</f>
        <v>0.83333333333333337</v>
      </c>
      <c r="I34" s="15">
        <f t="shared" si="8"/>
        <v>15</v>
      </c>
      <c r="J34" s="15">
        <f t="shared" si="8"/>
        <v>10</v>
      </c>
      <c r="K34" s="15">
        <f>IF(AND(I34&lt;&gt;"",J34&lt;&gt;""),J34/I34,"")</f>
        <v>0.66666666666666663</v>
      </c>
      <c r="L34" s="43" t="s">
        <v>199</v>
      </c>
      <c r="M34" s="15"/>
      <c r="N34" s="15"/>
      <c r="O34" s="15"/>
      <c r="P34" s="15" t="str">
        <f>IF(AND(N34&lt;&gt;"",O34&lt;&gt;""),O34/N34,"")</f>
        <v/>
      </c>
      <c r="Q34" s="15"/>
      <c r="R34" s="15"/>
      <c r="S34" s="15" t="str">
        <f>IF(AND(Q34&lt;&gt;"",R34&lt;&gt;""),R34/Q34,"")</f>
        <v/>
      </c>
      <c r="T34" s="15">
        <f t="shared" si="9"/>
        <v>0</v>
      </c>
      <c r="U34" s="15">
        <f t="shared" si="9"/>
        <v>0</v>
      </c>
      <c r="V34" s="15" t="e">
        <f>IF(AND(T34&lt;&gt;"",U34&lt;&gt;""),U34/T34,"")</f>
        <v>#DIV/0!</v>
      </c>
    </row>
    <row r="35" spans="1:22" ht="22" customHeight="1" x14ac:dyDescent="0.25">
      <c r="A35" s="14" t="s">
        <v>200</v>
      </c>
      <c r="B35" s="15">
        <v>504</v>
      </c>
      <c r="C35" s="15">
        <v>25</v>
      </c>
      <c r="D35" s="15">
        <v>23</v>
      </c>
      <c r="E35" s="15">
        <f>IF(AND(C35&lt;&gt;"",D35&lt;&gt;""),D35/C35,"")</f>
        <v>0.92</v>
      </c>
      <c r="F35" s="15">
        <v>12</v>
      </c>
      <c r="G35" s="15">
        <v>11</v>
      </c>
      <c r="H35" s="15">
        <f>IF(AND(F35&lt;&gt;"",G35&lt;&gt;""),G35/F35,"")</f>
        <v>0.91666666666666663</v>
      </c>
      <c r="I35" s="15">
        <f t="shared" si="8"/>
        <v>13</v>
      </c>
      <c r="J35" s="15">
        <f t="shared" si="8"/>
        <v>12</v>
      </c>
      <c r="K35" s="15">
        <f>IF(AND(I35&lt;&gt;"",J35&lt;&gt;""),J35/I35,"")</f>
        <v>0.92307692307692313</v>
      </c>
      <c r="L35" s="44"/>
      <c r="M35" s="15"/>
      <c r="N35" s="15"/>
      <c r="O35" s="15"/>
      <c r="P35" s="15" t="str">
        <f>IF(AND(N35&lt;&gt;"",O35&lt;&gt;""),O35/N35,"")</f>
        <v/>
      </c>
      <c r="Q35" s="15"/>
      <c r="R35" s="15"/>
      <c r="S35" s="15" t="str">
        <f>IF(AND(Q35&lt;&gt;"",R35&lt;&gt;""),R35/Q35,"")</f>
        <v/>
      </c>
      <c r="T35" s="15">
        <f t="shared" si="9"/>
        <v>0</v>
      </c>
      <c r="U35" s="15">
        <f t="shared" si="9"/>
        <v>0</v>
      </c>
      <c r="V35" s="15" t="e">
        <f>IF(AND(T35&lt;&gt;"",U35&lt;&gt;""),U35/T35,"")</f>
        <v>#DIV/0!</v>
      </c>
    </row>
    <row r="36" spans="1:22" ht="22" customHeight="1" x14ac:dyDescent="0.25">
      <c r="A36" s="14" t="s">
        <v>201</v>
      </c>
      <c r="B36" s="15">
        <v>504</v>
      </c>
      <c r="C36" s="15">
        <v>24</v>
      </c>
      <c r="D36" s="15">
        <v>23</v>
      </c>
      <c r="E36" s="15">
        <f>IF(AND(C36&lt;&gt;"",D36&lt;&gt;""),D36/C36,"")</f>
        <v>0.95833333333333337</v>
      </c>
      <c r="F36" s="15">
        <v>7</v>
      </c>
      <c r="G36" s="15">
        <v>7</v>
      </c>
      <c r="H36" s="15">
        <f>IF(AND(F36&lt;&gt;"",G36&lt;&gt;""),G36/F36,"")</f>
        <v>1</v>
      </c>
      <c r="I36" s="15">
        <f t="shared" si="8"/>
        <v>17</v>
      </c>
      <c r="J36" s="15">
        <f t="shared" si="8"/>
        <v>16</v>
      </c>
      <c r="K36" s="15">
        <f>IF(AND(I36&lt;&gt;"",J36&lt;&gt;""),J36/I36,"")</f>
        <v>0.94117647058823528</v>
      </c>
      <c r="L36" s="44"/>
      <c r="M36" s="15"/>
      <c r="N36" s="15"/>
      <c r="O36" s="15"/>
      <c r="P36" s="15" t="str">
        <f>IF(AND(N36&lt;&gt;"",O36&lt;&gt;""),O36/N36,"")</f>
        <v/>
      </c>
      <c r="Q36" s="15"/>
      <c r="R36" s="15"/>
      <c r="S36" s="15" t="str">
        <f>IF(AND(Q36&lt;&gt;"",R36&lt;&gt;""),R36/Q36,"")</f>
        <v/>
      </c>
      <c r="T36" s="15">
        <f t="shared" si="9"/>
        <v>0</v>
      </c>
      <c r="U36" s="15">
        <f t="shared" si="9"/>
        <v>0</v>
      </c>
      <c r="V36" s="15" t="e">
        <f>IF(AND(T36&lt;&gt;"",U36&lt;&gt;""),U36/T36,"")</f>
        <v>#DIV/0!</v>
      </c>
    </row>
    <row r="37" spans="1:22" ht="22" customHeight="1" x14ac:dyDescent="0.25">
      <c r="A37" s="13" t="s">
        <v>202</v>
      </c>
      <c r="B37" s="11"/>
      <c r="C37" s="11"/>
      <c r="D37" s="11"/>
      <c r="E37" s="11"/>
      <c r="F37" s="11"/>
      <c r="G37" s="11"/>
      <c r="H37" s="11"/>
      <c r="I37" s="11"/>
      <c r="J37" s="11"/>
      <c r="K37" s="11"/>
      <c r="L37" s="44"/>
      <c r="M37" s="11"/>
      <c r="N37" s="11"/>
      <c r="O37" s="11"/>
      <c r="P37" s="11"/>
      <c r="Q37" s="11"/>
      <c r="R37" s="11"/>
      <c r="S37" s="11"/>
      <c r="T37" s="11"/>
      <c r="U37" s="11"/>
      <c r="V37" s="11"/>
    </row>
    <row r="38" spans="1:22" ht="22" customHeight="1" x14ac:dyDescent="0.25">
      <c r="A38" s="14" t="s">
        <v>203</v>
      </c>
      <c r="B38" s="15">
        <v>505</v>
      </c>
      <c r="C38" s="15">
        <v>3</v>
      </c>
      <c r="D38" s="15">
        <v>3</v>
      </c>
      <c r="E38" s="15">
        <f t="shared" ref="E38:E45" si="10">IF(AND(C38&lt;&gt;"",D38&lt;&gt;""),D38/C38,"")</f>
        <v>1</v>
      </c>
      <c r="F38" s="15">
        <v>0</v>
      </c>
      <c r="G38" s="15">
        <v>0</v>
      </c>
      <c r="H38" s="15" t="e">
        <f t="shared" ref="H38:H45" si="11">IF(AND(F38&lt;&gt;"",G38&lt;&gt;""),G38/F38,"")</f>
        <v>#DIV/0!</v>
      </c>
      <c r="I38" s="15">
        <f t="shared" ref="I38:J44" si="12">C38-F38</f>
        <v>3</v>
      </c>
      <c r="J38" s="15">
        <f t="shared" si="12"/>
        <v>3</v>
      </c>
      <c r="K38" s="15">
        <f t="shared" ref="K38:K45" si="13">IF(AND(I38&lt;&gt;"",J38&lt;&gt;""),J38/I38,"")</f>
        <v>1</v>
      </c>
      <c r="L38" s="44"/>
      <c r="M38" s="15"/>
      <c r="N38" s="15"/>
      <c r="O38" s="15"/>
      <c r="P38" s="15" t="str">
        <f t="shared" ref="P38:P45" si="14">IF(AND(N38&lt;&gt;"",O38&lt;&gt;""),O38/N38,"")</f>
        <v/>
      </c>
      <c r="Q38" s="15"/>
      <c r="R38" s="15"/>
      <c r="S38" s="15" t="str">
        <f t="shared" ref="S38:S45" si="15">IF(AND(Q38&lt;&gt;"",R38&lt;&gt;""),R38/Q38,"")</f>
        <v/>
      </c>
      <c r="T38" s="15">
        <f t="shared" ref="T38:U44" si="16">N38-Q38</f>
        <v>0</v>
      </c>
      <c r="U38" s="15">
        <f t="shared" si="16"/>
        <v>0</v>
      </c>
      <c r="V38" s="15" t="e">
        <f t="shared" ref="V38:V45" si="17">IF(AND(T38&lt;&gt;"",U38&lt;&gt;""),U38/T38,"")</f>
        <v>#DIV/0!</v>
      </c>
    </row>
    <row r="39" spans="1:22" ht="22" customHeight="1" x14ac:dyDescent="0.25">
      <c r="A39" s="14" t="s">
        <v>204</v>
      </c>
      <c r="B39" s="15">
        <v>505</v>
      </c>
      <c r="C39" s="15">
        <v>20</v>
      </c>
      <c r="D39" s="15">
        <v>18</v>
      </c>
      <c r="E39" s="15">
        <f t="shared" si="10"/>
        <v>0.9</v>
      </c>
      <c r="F39" s="15">
        <v>4</v>
      </c>
      <c r="G39" s="15">
        <v>4</v>
      </c>
      <c r="H39" s="15">
        <f t="shared" si="11"/>
        <v>1</v>
      </c>
      <c r="I39" s="15">
        <f t="shared" si="12"/>
        <v>16</v>
      </c>
      <c r="J39" s="15">
        <f t="shared" si="12"/>
        <v>14</v>
      </c>
      <c r="K39" s="15">
        <f t="shared" si="13"/>
        <v>0.875</v>
      </c>
      <c r="L39" s="44"/>
      <c r="M39" s="15"/>
      <c r="N39" s="15"/>
      <c r="O39" s="15"/>
      <c r="P39" s="15" t="str">
        <f t="shared" si="14"/>
        <v/>
      </c>
      <c r="Q39" s="15"/>
      <c r="R39" s="15"/>
      <c r="S39" s="15" t="str">
        <f t="shared" si="15"/>
        <v/>
      </c>
      <c r="T39" s="15">
        <f t="shared" si="16"/>
        <v>0</v>
      </c>
      <c r="U39" s="15">
        <f t="shared" si="16"/>
        <v>0</v>
      </c>
      <c r="V39" s="15" t="e">
        <f t="shared" si="17"/>
        <v>#DIV/0!</v>
      </c>
    </row>
    <row r="40" spans="1:22" ht="22" customHeight="1" x14ac:dyDescent="0.25">
      <c r="A40" s="14" t="s">
        <v>205</v>
      </c>
      <c r="B40" s="15">
        <v>505</v>
      </c>
      <c r="C40" s="15">
        <v>20</v>
      </c>
      <c r="D40" s="15">
        <v>18</v>
      </c>
      <c r="E40" s="15">
        <f t="shared" si="10"/>
        <v>0.9</v>
      </c>
      <c r="F40" s="15">
        <v>6</v>
      </c>
      <c r="G40" s="15">
        <v>6</v>
      </c>
      <c r="H40" s="15">
        <f t="shared" si="11"/>
        <v>1</v>
      </c>
      <c r="I40" s="15">
        <f t="shared" si="12"/>
        <v>14</v>
      </c>
      <c r="J40" s="15">
        <f t="shared" si="12"/>
        <v>12</v>
      </c>
      <c r="K40" s="15">
        <f t="shared" si="13"/>
        <v>0.8571428571428571</v>
      </c>
      <c r="L40" s="44"/>
      <c r="M40" s="15"/>
      <c r="N40" s="15"/>
      <c r="O40" s="15"/>
      <c r="P40" s="15" t="str">
        <f t="shared" si="14"/>
        <v/>
      </c>
      <c r="Q40" s="15"/>
      <c r="R40" s="15"/>
      <c r="S40" s="15" t="str">
        <f t="shared" si="15"/>
        <v/>
      </c>
      <c r="T40" s="15">
        <f t="shared" si="16"/>
        <v>0</v>
      </c>
      <c r="U40" s="15">
        <f t="shared" si="16"/>
        <v>0</v>
      </c>
      <c r="V40" s="15" t="e">
        <f t="shared" si="17"/>
        <v>#DIV/0!</v>
      </c>
    </row>
    <row r="41" spans="1:22" ht="22" customHeight="1" x14ac:dyDescent="0.25">
      <c r="A41" s="14" t="s">
        <v>206</v>
      </c>
      <c r="B41" s="15">
        <v>505</v>
      </c>
      <c r="C41" s="15">
        <v>21</v>
      </c>
      <c r="D41" s="15">
        <v>16</v>
      </c>
      <c r="E41" s="15">
        <f t="shared" si="10"/>
        <v>0.76190476190476186</v>
      </c>
      <c r="F41" s="15">
        <v>7</v>
      </c>
      <c r="G41" s="15">
        <v>5</v>
      </c>
      <c r="H41" s="15">
        <f t="shared" si="11"/>
        <v>0.7142857142857143</v>
      </c>
      <c r="I41" s="15">
        <f t="shared" si="12"/>
        <v>14</v>
      </c>
      <c r="J41" s="15">
        <f t="shared" si="12"/>
        <v>11</v>
      </c>
      <c r="K41" s="15">
        <f t="shared" si="13"/>
        <v>0.7857142857142857</v>
      </c>
      <c r="L41" s="44"/>
      <c r="M41" s="15"/>
      <c r="N41" s="15"/>
      <c r="O41" s="15"/>
      <c r="P41" s="15" t="str">
        <f t="shared" si="14"/>
        <v/>
      </c>
      <c r="Q41" s="15"/>
      <c r="R41" s="15"/>
      <c r="S41" s="15" t="str">
        <f t="shared" si="15"/>
        <v/>
      </c>
      <c r="T41" s="15">
        <f t="shared" si="16"/>
        <v>0</v>
      </c>
      <c r="U41" s="15">
        <f t="shared" si="16"/>
        <v>0</v>
      </c>
      <c r="V41" s="15" t="e">
        <f t="shared" si="17"/>
        <v>#DIV/0!</v>
      </c>
    </row>
    <row r="42" spans="1:22" ht="22" customHeight="1" x14ac:dyDescent="0.25">
      <c r="A42" s="14" t="s">
        <v>207</v>
      </c>
      <c r="B42" s="15">
        <v>506</v>
      </c>
      <c r="C42" s="15">
        <v>20</v>
      </c>
      <c r="D42" s="15">
        <v>16</v>
      </c>
      <c r="E42" s="15">
        <f t="shared" si="10"/>
        <v>0.8</v>
      </c>
      <c r="F42" s="15">
        <v>6</v>
      </c>
      <c r="G42" s="15">
        <v>4</v>
      </c>
      <c r="H42" s="15">
        <f t="shared" si="11"/>
        <v>0.66666666666666663</v>
      </c>
      <c r="I42" s="15">
        <f t="shared" si="12"/>
        <v>14</v>
      </c>
      <c r="J42" s="15">
        <f t="shared" si="12"/>
        <v>12</v>
      </c>
      <c r="K42" s="15">
        <f t="shared" si="13"/>
        <v>0.8571428571428571</v>
      </c>
      <c r="L42" s="44"/>
      <c r="M42" s="15"/>
      <c r="N42" s="15"/>
      <c r="O42" s="15"/>
      <c r="P42" s="15" t="str">
        <f t="shared" si="14"/>
        <v/>
      </c>
      <c r="Q42" s="15"/>
      <c r="R42" s="15"/>
      <c r="S42" s="15" t="str">
        <f t="shared" si="15"/>
        <v/>
      </c>
      <c r="T42" s="15">
        <f t="shared" si="16"/>
        <v>0</v>
      </c>
      <c r="U42" s="15">
        <f t="shared" si="16"/>
        <v>0</v>
      </c>
      <c r="V42" s="15" t="e">
        <f t="shared" si="17"/>
        <v>#DIV/0!</v>
      </c>
    </row>
    <row r="43" spans="1:22" ht="22" customHeight="1" x14ac:dyDescent="0.25">
      <c r="A43" s="14" t="s">
        <v>208</v>
      </c>
      <c r="B43" s="15">
        <v>506</v>
      </c>
      <c r="C43" s="15"/>
      <c r="D43" s="15"/>
      <c r="E43" s="15" t="str">
        <f t="shared" si="10"/>
        <v/>
      </c>
      <c r="F43" s="15"/>
      <c r="G43" s="15"/>
      <c r="H43" s="15" t="str">
        <f t="shared" si="11"/>
        <v/>
      </c>
      <c r="I43" s="15">
        <f t="shared" si="12"/>
        <v>0</v>
      </c>
      <c r="J43" s="15">
        <f t="shared" si="12"/>
        <v>0</v>
      </c>
      <c r="K43" s="15" t="e">
        <f t="shared" si="13"/>
        <v>#DIV/0!</v>
      </c>
      <c r="L43" s="44" t="s">
        <v>209</v>
      </c>
      <c r="M43" s="15"/>
      <c r="N43" s="15"/>
      <c r="O43" s="15"/>
      <c r="P43" s="15" t="str">
        <f t="shared" si="14"/>
        <v/>
      </c>
      <c r="Q43" s="15"/>
      <c r="R43" s="15"/>
      <c r="S43" s="15" t="str">
        <f t="shared" si="15"/>
        <v/>
      </c>
      <c r="T43" s="15">
        <f t="shared" si="16"/>
        <v>0</v>
      </c>
      <c r="U43" s="15">
        <f t="shared" si="16"/>
        <v>0</v>
      </c>
      <c r="V43" s="15" t="e">
        <f t="shared" si="17"/>
        <v>#DIV/0!</v>
      </c>
    </row>
    <row r="44" spans="1:22" ht="22" customHeight="1" x14ac:dyDescent="0.25">
      <c r="A44" s="14" t="s">
        <v>210</v>
      </c>
      <c r="B44" s="15">
        <v>506</v>
      </c>
      <c r="C44" s="15"/>
      <c r="D44" s="15"/>
      <c r="E44" s="15" t="str">
        <f t="shared" si="10"/>
        <v/>
      </c>
      <c r="F44" s="15"/>
      <c r="G44" s="15"/>
      <c r="H44" s="15" t="str">
        <f t="shared" si="11"/>
        <v/>
      </c>
      <c r="I44" s="15">
        <f t="shared" si="12"/>
        <v>0</v>
      </c>
      <c r="J44" s="15">
        <f t="shared" si="12"/>
        <v>0</v>
      </c>
      <c r="K44" s="15" t="e">
        <f t="shared" si="13"/>
        <v>#DIV/0!</v>
      </c>
      <c r="L44" s="44" t="s">
        <v>209</v>
      </c>
      <c r="M44" s="15"/>
      <c r="N44" s="15"/>
      <c r="O44" s="15"/>
      <c r="P44" s="15" t="str">
        <f t="shared" si="14"/>
        <v/>
      </c>
      <c r="Q44" s="15"/>
      <c r="R44" s="15"/>
      <c r="S44" s="15" t="str">
        <f t="shared" si="15"/>
        <v/>
      </c>
      <c r="T44" s="15">
        <f t="shared" si="16"/>
        <v>0</v>
      </c>
      <c r="U44" s="15">
        <f t="shared" si="16"/>
        <v>0</v>
      </c>
      <c r="V44" s="15" t="e">
        <f t="shared" si="17"/>
        <v>#DIV/0!</v>
      </c>
    </row>
    <row r="45" spans="1:22" ht="22" customHeight="1" x14ac:dyDescent="0.25">
      <c r="A45" s="16" t="s">
        <v>47</v>
      </c>
      <c r="B45" s="17"/>
      <c r="C45" s="18">
        <f>SUM(C5:C44)</f>
        <v>595</v>
      </c>
      <c r="D45" s="18">
        <f>SUM(D5:D44)</f>
        <v>508</v>
      </c>
      <c r="E45" s="18">
        <f t="shared" si="10"/>
        <v>0.85378151260504198</v>
      </c>
      <c r="F45" s="18">
        <f>SUM(F5:F44)</f>
        <v>171</v>
      </c>
      <c r="G45" s="18">
        <f>SUM(G5:G44)</f>
        <v>142</v>
      </c>
      <c r="H45" s="18">
        <f t="shared" si="11"/>
        <v>0.83040935672514615</v>
      </c>
      <c r="I45" s="18">
        <f>SUM(I5:I44)</f>
        <v>424</v>
      </c>
      <c r="J45" s="18">
        <f>SUM(J5:J44)</f>
        <v>366</v>
      </c>
      <c r="K45" s="18">
        <f t="shared" si="13"/>
        <v>0.8632075471698113</v>
      </c>
      <c r="L45" s="17"/>
      <c r="M45" s="17"/>
      <c r="N45" s="18">
        <f>SUM(N5:N44)</f>
        <v>0</v>
      </c>
      <c r="O45" s="18">
        <f>SUM(O5:O44)</f>
        <v>0</v>
      </c>
      <c r="P45" s="18" t="e">
        <f t="shared" si="14"/>
        <v>#DIV/0!</v>
      </c>
      <c r="Q45" s="18">
        <f>SUM(Q5:Q44)</f>
        <v>0</v>
      </c>
      <c r="R45" s="18">
        <f>SUM(R5:R44)</f>
        <v>0</v>
      </c>
      <c r="S45" s="18" t="e">
        <f t="shared" si="15"/>
        <v>#DIV/0!</v>
      </c>
      <c r="T45" s="18">
        <f>SUM(T5:T44)</f>
        <v>0</v>
      </c>
      <c r="U45" s="18">
        <f>SUM(U5:U44)</f>
        <v>0</v>
      </c>
      <c r="V45" s="18" t="e">
        <f t="shared" si="17"/>
        <v>#DIV/0!</v>
      </c>
    </row>
    <row r="46" spans="1:22" ht="22" customHeight="1" x14ac:dyDescent="0.25"/>
    <row r="47" spans="1:22" ht="22" customHeight="1" x14ac:dyDescent="0.25">
      <c r="A47" s="19" t="s">
        <v>48</v>
      </c>
      <c r="B47" s="20"/>
      <c r="C47" s="21">
        <f>C45+N45</f>
        <v>595</v>
      </c>
      <c r="D47" s="21">
        <f>D45+O45</f>
        <v>508</v>
      </c>
      <c r="E47" s="21">
        <f>IF(AND(C47&lt;&gt;"",D47&lt;&gt;""),D47/C47,"")</f>
        <v>0.85378151260504198</v>
      </c>
      <c r="F47" s="21">
        <f>F45+Q45</f>
        <v>171</v>
      </c>
      <c r="G47" s="21">
        <f>G45+R45</f>
        <v>142</v>
      </c>
      <c r="H47" s="21">
        <f>IF(AND(F47&lt;&gt;"",G47&lt;&gt;""),G47/F47,"")</f>
        <v>0.83040935672514615</v>
      </c>
      <c r="I47" s="21">
        <f>I45+T45</f>
        <v>424</v>
      </c>
      <c r="J47" s="21">
        <f>J45+U45</f>
        <v>366</v>
      </c>
      <c r="K47" s="21">
        <f>IF(AND(I47&lt;&gt;"",J47&lt;&gt;""),J47/I47,"")</f>
        <v>0.8632075471698113</v>
      </c>
      <c r="L47" s="20"/>
      <c r="M47" s="20"/>
      <c r="N47" s="20"/>
      <c r="O47" s="20"/>
      <c r="P47" s="21" t="str">
        <f>IF(AND(N47&lt;&gt;"",O47&lt;&gt;""),O47/N47,"")</f>
        <v/>
      </c>
      <c r="Q47" s="20"/>
      <c r="R47" s="20"/>
      <c r="S47" s="21" t="str">
        <f>IF(AND(Q47&lt;&gt;"",R47&lt;&gt;""),R47/Q47,"")</f>
        <v/>
      </c>
      <c r="T47" s="20"/>
      <c r="U47" s="20"/>
      <c r="V47" s="21" t="str">
        <f>IF(AND(T47&lt;&gt;"",U47&lt;&gt;""),U47/T47,"")</f>
        <v/>
      </c>
    </row>
  </sheetData>
  <mergeCells count="3">
    <mergeCell ref="A1:V1"/>
    <mergeCell ref="M3:V3"/>
    <mergeCell ref="A3:K3"/>
  </mergeCells>
  <phoneticPr fontId="1" type="noConversion"/>
  <conditionalFormatting sqref="E6:E7">
    <cfRule type="cellIs" dxfId="569" priority="1" operator="greaterThanOrEqual">
      <formula>0.9</formula>
    </cfRule>
    <cfRule type="cellIs" dxfId="568" priority="2" operator="between">
      <formula>0.8</formula>
      <formula>0.9</formula>
    </cfRule>
    <cfRule type="cellIs" dxfId="567" priority="3" operator="lessThan">
      <formula>0.8</formula>
    </cfRule>
  </conditionalFormatting>
  <conditionalFormatting sqref="E9:E11">
    <cfRule type="cellIs" dxfId="566" priority="21" operator="lessThan">
      <formula>0.8</formula>
    </cfRule>
    <cfRule type="cellIs" dxfId="565" priority="19" operator="greaterThanOrEqual">
      <formula>0.9</formula>
    </cfRule>
    <cfRule type="cellIs" dxfId="564" priority="20" operator="between">
      <formula>0.8</formula>
      <formula>0.9</formula>
    </cfRule>
  </conditionalFormatting>
  <conditionalFormatting sqref="E13:E16">
    <cfRule type="cellIs" dxfId="563" priority="37" operator="greaterThanOrEqual">
      <formula>0.9</formula>
    </cfRule>
    <cfRule type="cellIs" dxfId="562" priority="38" operator="between">
      <formula>0.8</formula>
      <formula>0.9</formula>
    </cfRule>
    <cfRule type="cellIs" dxfId="561" priority="39" operator="lessThan">
      <formula>0.8</formula>
    </cfRule>
  </conditionalFormatting>
  <conditionalFormatting sqref="E18:E19">
    <cfRule type="cellIs" dxfId="560" priority="56" operator="between">
      <formula>0.8</formula>
      <formula>0.9</formula>
    </cfRule>
    <cfRule type="cellIs" dxfId="559" priority="57" operator="lessThan">
      <formula>0.8</formula>
    </cfRule>
    <cfRule type="cellIs" dxfId="558" priority="55" operator="greaterThanOrEqual">
      <formula>0.9</formula>
    </cfRule>
  </conditionalFormatting>
  <conditionalFormatting sqref="E21:E25">
    <cfRule type="cellIs" dxfId="557" priority="75" operator="lessThan">
      <formula>0.8</formula>
    </cfRule>
    <cfRule type="cellIs" dxfId="556" priority="74" operator="between">
      <formula>0.8</formula>
      <formula>0.9</formula>
    </cfRule>
    <cfRule type="cellIs" dxfId="555" priority="73" operator="greaterThanOrEqual">
      <formula>0.9</formula>
    </cfRule>
  </conditionalFormatting>
  <conditionalFormatting sqref="E27:E30">
    <cfRule type="cellIs" dxfId="554" priority="92" operator="between">
      <formula>0.8</formula>
      <formula>0.9</formula>
    </cfRule>
    <cfRule type="cellIs" dxfId="553" priority="93" operator="lessThan">
      <formula>0.8</formula>
    </cfRule>
    <cfRule type="cellIs" dxfId="552" priority="91" operator="greaterThanOrEqual">
      <formula>0.9</formula>
    </cfRule>
  </conditionalFormatting>
  <conditionalFormatting sqref="E32:E36">
    <cfRule type="cellIs" dxfId="551" priority="111" operator="lessThan">
      <formula>0.8</formula>
    </cfRule>
    <cfRule type="cellIs" dxfId="550" priority="110" operator="between">
      <formula>0.8</formula>
      <formula>0.9</formula>
    </cfRule>
    <cfRule type="cellIs" dxfId="549" priority="109" operator="greaterThanOrEqual">
      <formula>0.9</formula>
    </cfRule>
  </conditionalFormatting>
  <conditionalFormatting sqref="E38:E45">
    <cfRule type="cellIs" dxfId="548" priority="127" operator="greaterThanOrEqual">
      <formula>0.9</formula>
    </cfRule>
    <cfRule type="cellIs" dxfId="547" priority="129" operator="lessThan">
      <formula>0.8</formula>
    </cfRule>
    <cfRule type="cellIs" dxfId="546" priority="128" operator="between">
      <formula>0.8</formula>
      <formula>0.9</formula>
    </cfRule>
  </conditionalFormatting>
  <conditionalFormatting sqref="E47">
    <cfRule type="cellIs" dxfId="545" priority="163" operator="greaterThanOrEqual">
      <formula>0.9</formula>
    </cfRule>
    <cfRule type="cellIs" dxfId="544" priority="165" operator="lessThan">
      <formula>0.8</formula>
    </cfRule>
    <cfRule type="cellIs" dxfId="543" priority="164" operator="between">
      <formula>0.8</formula>
      <formula>0.9</formula>
    </cfRule>
  </conditionalFormatting>
  <conditionalFormatting sqref="H6:H7">
    <cfRule type="cellIs" dxfId="542" priority="5" operator="between">
      <formula>0.8</formula>
      <formula>0.9</formula>
    </cfRule>
    <cfRule type="cellIs" dxfId="541" priority="4" operator="greaterThanOrEqual">
      <formula>0.9</formula>
    </cfRule>
    <cfRule type="cellIs" dxfId="540" priority="6" operator="lessThan">
      <formula>0.8</formula>
    </cfRule>
  </conditionalFormatting>
  <conditionalFormatting sqref="H9:H11">
    <cfRule type="cellIs" dxfId="539" priority="24" operator="lessThan">
      <formula>0.8</formula>
    </cfRule>
    <cfRule type="cellIs" dxfId="538" priority="22" operator="greaterThanOrEqual">
      <formula>0.9</formula>
    </cfRule>
    <cfRule type="cellIs" dxfId="537" priority="23" operator="between">
      <formula>0.8</formula>
      <formula>0.9</formula>
    </cfRule>
  </conditionalFormatting>
  <conditionalFormatting sqref="H13:H16">
    <cfRule type="cellIs" dxfId="536" priority="41" operator="between">
      <formula>0.8</formula>
      <formula>0.9</formula>
    </cfRule>
    <cfRule type="cellIs" dxfId="535" priority="42" operator="lessThan">
      <formula>0.8</formula>
    </cfRule>
    <cfRule type="cellIs" dxfId="534" priority="40" operator="greaterThanOrEqual">
      <formula>0.9</formula>
    </cfRule>
  </conditionalFormatting>
  <conditionalFormatting sqref="H18:H19">
    <cfRule type="cellIs" dxfId="533" priority="60" operator="lessThan">
      <formula>0.8</formula>
    </cfRule>
    <cfRule type="cellIs" dxfId="532" priority="59" operator="between">
      <formula>0.8</formula>
      <formula>0.9</formula>
    </cfRule>
    <cfRule type="cellIs" dxfId="531" priority="58" operator="greaterThanOrEqual">
      <formula>0.9</formula>
    </cfRule>
  </conditionalFormatting>
  <conditionalFormatting sqref="H21:H25">
    <cfRule type="cellIs" dxfId="530" priority="76" operator="greaterThanOrEqual">
      <formula>0.9</formula>
    </cfRule>
    <cfRule type="cellIs" dxfId="529" priority="77" operator="between">
      <formula>0.8</formula>
      <formula>0.9</formula>
    </cfRule>
    <cfRule type="cellIs" dxfId="528" priority="78" operator="lessThan">
      <formula>0.8</formula>
    </cfRule>
  </conditionalFormatting>
  <conditionalFormatting sqref="H27:H30">
    <cfRule type="cellIs" dxfId="527" priority="95" operator="between">
      <formula>0.8</formula>
      <formula>0.9</formula>
    </cfRule>
    <cfRule type="cellIs" dxfId="526" priority="96" operator="lessThan">
      <formula>0.8</formula>
    </cfRule>
    <cfRule type="cellIs" dxfId="525" priority="94" operator="greaterThanOrEqual">
      <formula>0.9</formula>
    </cfRule>
  </conditionalFormatting>
  <conditionalFormatting sqref="H32:H36">
    <cfRule type="cellIs" dxfId="524" priority="113" operator="between">
      <formula>0.8</formula>
      <formula>0.9</formula>
    </cfRule>
    <cfRule type="cellIs" dxfId="523" priority="112" operator="greaterThanOrEqual">
      <formula>0.9</formula>
    </cfRule>
    <cfRule type="cellIs" dxfId="522" priority="114" operator="lessThan">
      <formula>0.8</formula>
    </cfRule>
  </conditionalFormatting>
  <conditionalFormatting sqref="H38:H45">
    <cfRule type="cellIs" dxfId="521" priority="132" operator="lessThan">
      <formula>0.8</formula>
    </cfRule>
    <cfRule type="cellIs" dxfId="520" priority="131" operator="between">
      <formula>0.8</formula>
      <formula>0.9</formula>
    </cfRule>
    <cfRule type="cellIs" dxfId="519" priority="130" operator="greaterThanOrEqual">
      <formula>0.9</formula>
    </cfRule>
  </conditionalFormatting>
  <conditionalFormatting sqref="H47">
    <cfRule type="cellIs" dxfId="518" priority="166" operator="greaterThanOrEqual">
      <formula>0.9</formula>
    </cfRule>
    <cfRule type="cellIs" dxfId="517" priority="167" operator="between">
      <formula>0.8</formula>
      <formula>0.9</formula>
    </cfRule>
    <cfRule type="cellIs" dxfId="516" priority="168" operator="lessThan">
      <formula>0.8</formula>
    </cfRule>
  </conditionalFormatting>
  <conditionalFormatting sqref="K6:K7">
    <cfRule type="cellIs" dxfId="515" priority="9" operator="lessThan">
      <formula>0.8</formula>
    </cfRule>
    <cfRule type="cellIs" dxfId="514" priority="8" operator="between">
      <formula>0.8</formula>
      <formula>0.9</formula>
    </cfRule>
    <cfRule type="cellIs" dxfId="513" priority="7" operator="greaterThanOrEqual">
      <formula>0.9</formula>
    </cfRule>
  </conditionalFormatting>
  <conditionalFormatting sqref="K9:K11">
    <cfRule type="cellIs" dxfId="512" priority="25" operator="greaterThanOrEqual">
      <formula>0.9</formula>
    </cfRule>
    <cfRule type="cellIs" dxfId="511" priority="27" operator="lessThan">
      <formula>0.8</formula>
    </cfRule>
    <cfRule type="cellIs" dxfId="510" priority="26" operator="between">
      <formula>0.8</formula>
      <formula>0.9</formula>
    </cfRule>
  </conditionalFormatting>
  <conditionalFormatting sqref="K13:K16">
    <cfRule type="cellIs" dxfId="509" priority="45" operator="lessThan">
      <formula>0.8</formula>
    </cfRule>
    <cfRule type="cellIs" dxfId="508" priority="44" operator="between">
      <formula>0.8</formula>
      <formula>0.9</formula>
    </cfRule>
    <cfRule type="cellIs" dxfId="507" priority="43" operator="greaterThanOrEqual">
      <formula>0.9</formula>
    </cfRule>
  </conditionalFormatting>
  <conditionalFormatting sqref="K18:K19">
    <cfRule type="cellIs" dxfId="506" priority="61" operator="greaterThanOrEqual">
      <formula>0.9</formula>
    </cfRule>
    <cfRule type="cellIs" dxfId="505" priority="62" operator="between">
      <formula>0.8</formula>
      <formula>0.9</formula>
    </cfRule>
    <cfRule type="cellIs" dxfId="504" priority="63" operator="lessThan">
      <formula>0.8</formula>
    </cfRule>
  </conditionalFormatting>
  <conditionalFormatting sqref="K21:K25">
    <cfRule type="cellIs" dxfId="503" priority="81" operator="lessThan">
      <formula>0.8</formula>
    </cfRule>
    <cfRule type="cellIs" dxfId="502" priority="80" operator="between">
      <formula>0.8</formula>
      <formula>0.9</formula>
    </cfRule>
    <cfRule type="cellIs" dxfId="501" priority="79" operator="greaterThanOrEqual">
      <formula>0.9</formula>
    </cfRule>
  </conditionalFormatting>
  <conditionalFormatting sqref="K27:K30">
    <cfRule type="cellIs" dxfId="500" priority="97" operator="greaterThanOrEqual">
      <formula>0.9</formula>
    </cfRule>
    <cfRule type="cellIs" dxfId="499" priority="99" operator="lessThan">
      <formula>0.8</formula>
    </cfRule>
    <cfRule type="cellIs" dxfId="498" priority="98" operator="between">
      <formula>0.8</formula>
      <formula>0.9</formula>
    </cfRule>
  </conditionalFormatting>
  <conditionalFormatting sqref="K32:K36">
    <cfRule type="cellIs" dxfId="497" priority="117" operator="lessThan">
      <formula>0.8</formula>
    </cfRule>
    <cfRule type="cellIs" dxfId="496" priority="115" operator="greaterThanOrEqual">
      <formula>0.9</formula>
    </cfRule>
    <cfRule type="cellIs" dxfId="495" priority="116" operator="between">
      <formula>0.8</formula>
      <formula>0.9</formula>
    </cfRule>
  </conditionalFormatting>
  <conditionalFormatting sqref="K38:K45">
    <cfRule type="cellIs" dxfId="494" priority="134" operator="between">
      <formula>0.8</formula>
      <formula>0.9</formula>
    </cfRule>
    <cfRule type="cellIs" dxfId="493" priority="135" operator="lessThan">
      <formula>0.8</formula>
    </cfRule>
    <cfRule type="cellIs" dxfId="492" priority="133" operator="greaterThanOrEqual">
      <formula>0.9</formula>
    </cfRule>
  </conditionalFormatting>
  <conditionalFormatting sqref="K47">
    <cfRule type="cellIs" dxfId="491" priority="169" operator="greaterThanOrEqual">
      <formula>0.9</formula>
    </cfRule>
    <cfRule type="cellIs" dxfId="490" priority="170" operator="between">
      <formula>0.8</formula>
      <formula>0.9</formula>
    </cfRule>
    <cfRule type="cellIs" dxfId="489" priority="171" operator="lessThan">
      <formula>0.8</formula>
    </cfRule>
  </conditionalFormatting>
  <conditionalFormatting sqref="P6:P7">
    <cfRule type="cellIs" dxfId="488" priority="12" operator="lessThan">
      <formula>0.8</formula>
    </cfRule>
    <cfRule type="cellIs" dxfId="487" priority="11" operator="between">
      <formula>0.8</formula>
      <formula>0.9</formula>
    </cfRule>
    <cfRule type="cellIs" dxfId="486" priority="10" operator="greaterThanOrEqual">
      <formula>0.9</formula>
    </cfRule>
  </conditionalFormatting>
  <conditionalFormatting sqref="P9:P11">
    <cfRule type="cellIs" dxfId="485" priority="30" operator="lessThan">
      <formula>0.8</formula>
    </cfRule>
    <cfRule type="cellIs" dxfId="484" priority="28" operator="greaterThanOrEqual">
      <formula>0.9</formula>
    </cfRule>
    <cfRule type="cellIs" dxfId="483" priority="29" operator="between">
      <formula>0.8</formula>
      <formula>0.9</formula>
    </cfRule>
  </conditionalFormatting>
  <conditionalFormatting sqref="P13:P16">
    <cfRule type="cellIs" dxfId="482" priority="46" operator="greaterThanOrEqual">
      <formula>0.9</formula>
    </cfRule>
    <cfRule type="cellIs" dxfId="481" priority="47" operator="between">
      <formula>0.8</formula>
      <formula>0.9</formula>
    </cfRule>
    <cfRule type="cellIs" dxfId="480" priority="48" operator="lessThan">
      <formula>0.8</formula>
    </cfRule>
  </conditionalFormatting>
  <conditionalFormatting sqref="P18:P19">
    <cfRule type="cellIs" dxfId="479" priority="65" operator="between">
      <formula>0.8</formula>
      <formula>0.9</formula>
    </cfRule>
    <cfRule type="cellIs" dxfId="478" priority="66" operator="lessThan">
      <formula>0.8</formula>
    </cfRule>
    <cfRule type="cellIs" dxfId="477" priority="64" operator="greaterThanOrEqual">
      <formula>0.9</formula>
    </cfRule>
  </conditionalFormatting>
  <conditionalFormatting sqref="P21:P25">
    <cfRule type="cellIs" dxfId="476" priority="82" operator="greaterThanOrEqual">
      <formula>0.9</formula>
    </cfRule>
    <cfRule type="cellIs" dxfId="475" priority="83" operator="between">
      <formula>0.8</formula>
      <formula>0.9</formula>
    </cfRule>
    <cfRule type="cellIs" dxfId="474" priority="84" operator="lessThan">
      <formula>0.8</formula>
    </cfRule>
  </conditionalFormatting>
  <conditionalFormatting sqref="P27:P30">
    <cfRule type="cellIs" dxfId="473" priority="102" operator="lessThan">
      <formula>0.8</formula>
    </cfRule>
    <cfRule type="cellIs" dxfId="472" priority="100" operator="greaterThanOrEqual">
      <formula>0.9</formula>
    </cfRule>
    <cfRule type="cellIs" dxfId="471" priority="101" operator="between">
      <formula>0.8</formula>
      <formula>0.9</formula>
    </cfRule>
  </conditionalFormatting>
  <conditionalFormatting sqref="P32:P36">
    <cfRule type="cellIs" dxfId="470" priority="120" operator="lessThan">
      <formula>0.8</formula>
    </cfRule>
    <cfRule type="cellIs" dxfId="469" priority="118" operator="greaterThanOrEqual">
      <formula>0.9</formula>
    </cfRule>
    <cfRule type="cellIs" dxfId="468" priority="119" operator="between">
      <formula>0.8</formula>
      <formula>0.9</formula>
    </cfRule>
  </conditionalFormatting>
  <conditionalFormatting sqref="P38:P45">
    <cfRule type="cellIs" dxfId="467" priority="136" operator="greaterThanOrEqual">
      <formula>0.9</formula>
    </cfRule>
    <cfRule type="cellIs" dxfId="466" priority="137" operator="between">
      <formula>0.8</formula>
      <formula>0.9</formula>
    </cfRule>
    <cfRule type="cellIs" dxfId="465" priority="138" operator="lessThan">
      <formula>0.8</formula>
    </cfRule>
  </conditionalFormatting>
  <conditionalFormatting sqref="P47">
    <cfRule type="cellIs" dxfId="464" priority="172" operator="greaterThanOrEqual">
      <formula>0.9</formula>
    </cfRule>
    <cfRule type="cellIs" dxfId="463" priority="173" operator="between">
      <formula>0.8</formula>
      <formula>0.9</formula>
    </cfRule>
    <cfRule type="cellIs" dxfId="462" priority="174" operator="lessThan">
      <formula>0.8</formula>
    </cfRule>
  </conditionalFormatting>
  <conditionalFormatting sqref="S6:S7">
    <cfRule type="cellIs" dxfId="461" priority="14" operator="between">
      <formula>0.8</formula>
      <formula>0.9</formula>
    </cfRule>
    <cfRule type="cellIs" dxfId="460" priority="13" operator="greaterThanOrEqual">
      <formula>0.9</formula>
    </cfRule>
    <cfRule type="cellIs" dxfId="459" priority="15" operator="lessThan">
      <formula>0.8</formula>
    </cfRule>
  </conditionalFormatting>
  <conditionalFormatting sqref="S9:S11">
    <cfRule type="cellIs" dxfId="458" priority="31" operator="greaterThanOrEqual">
      <formula>0.9</formula>
    </cfRule>
    <cfRule type="cellIs" dxfId="457" priority="33" operator="lessThan">
      <formula>0.8</formula>
    </cfRule>
    <cfRule type="cellIs" dxfId="456" priority="32" operator="between">
      <formula>0.8</formula>
      <formula>0.9</formula>
    </cfRule>
  </conditionalFormatting>
  <conditionalFormatting sqref="S13:S16">
    <cfRule type="cellIs" dxfId="455" priority="51" operator="lessThan">
      <formula>0.8</formula>
    </cfRule>
    <cfRule type="cellIs" dxfId="454" priority="50" operator="between">
      <formula>0.8</formula>
      <formula>0.9</formula>
    </cfRule>
    <cfRule type="cellIs" dxfId="453" priority="49" operator="greaterThanOrEqual">
      <formula>0.9</formula>
    </cfRule>
  </conditionalFormatting>
  <conditionalFormatting sqref="S18:S19">
    <cfRule type="cellIs" dxfId="452" priority="67" operator="greaterThanOrEqual">
      <formula>0.9</formula>
    </cfRule>
    <cfRule type="cellIs" dxfId="451" priority="69" operator="lessThan">
      <formula>0.8</formula>
    </cfRule>
    <cfRule type="cellIs" dxfId="450" priority="68" operator="between">
      <formula>0.8</formula>
      <formula>0.9</formula>
    </cfRule>
  </conditionalFormatting>
  <conditionalFormatting sqref="S21:S25">
    <cfRule type="cellIs" dxfId="449" priority="86" operator="between">
      <formula>0.8</formula>
      <formula>0.9</formula>
    </cfRule>
    <cfRule type="cellIs" dxfId="448" priority="85" operator="greaterThanOrEqual">
      <formula>0.9</formula>
    </cfRule>
    <cfRule type="cellIs" dxfId="447" priority="87" operator="lessThan">
      <formula>0.8</formula>
    </cfRule>
  </conditionalFormatting>
  <conditionalFormatting sqref="S27:S30">
    <cfRule type="cellIs" dxfId="446" priority="104" operator="between">
      <formula>0.8</formula>
      <formula>0.9</formula>
    </cfRule>
    <cfRule type="cellIs" dxfId="445" priority="103" operator="greaterThanOrEqual">
      <formula>0.9</formula>
    </cfRule>
    <cfRule type="cellIs" dxfId="444" priority="105" operator="lessThan">
      <formula>0.8</formula>
    </cfRule>
  </conditionalFormatting>
  <conditionalFormatting sqref="S32:S36">
    <cfRule type="cellIs" dxfId="443" priority="122" operator="between">
      <formula>0.8</formula>
      <formula>0.9</formula>
    </cfRule>
    <cfRule type="cellIs" dxfId="442" priority="121" operator="greaterThanOrEqual">
      <formula>0.9</formula>
    </cfRule>
    <cfRule type="cellIs" dxfId="441" priority="123" operator="lessThan">
      <formula>0.8</formula>
    </cfRule>
  </conditionalFormatting>
  <conditionalFormatting sqref="S38:S45">
    <cfRule type="cellIs" dxfId="440" priority="141" operator="lessThan">
      <formula>0.8</formula>
    </cfRule>
    <cfRule type="cellIs" dxfId="439" priority="139" operator="greaterThanOrEqual">
      <formula>0.9</formula>
    </cfRule>
    <cfRule type="cellIs" dxfId="438" priority="140" operator="between">
      <formula>0.8</formula>
      <formula>0.9</formula>
    </cfRule>
  </conditionalFormatting>
  <conditionalFormatting sqref="S47">
    <cfRule type="cellIs" dxfId="437" priority="175" operator="greaterThanOrEqual">
      <formula>0.9</formula>
    </cfRule>
    <cfRule type="cellIs" dxfId="436" priority="176" operator="between">
      <formula>0.8</formula>
      <formula>0.9</formula>
    </cfRule>
    <cfRule type="cellIs" dxfId="435" priority="177" operator="lessThan">
      <formula>0.8</formula>
    </cfRule>
  </conditionalFormatting>
  <conditionalFormatting sqref="V6:V7">
    <cfRule type="cellIs" dxfId="434" priority="16" operator="greaterThanOrEqual">
      <formula>0.9</formula>
    </cfRule>
    <cfRule type="cellIs" dxfId="433" priority="18" operator="lessThan">
      <formula>0.8</formula>
    </cfRule>
    <cfRule type="cellIs" dxfId="432" priority="17" operator="between">
      <formula>0.8</formula>
      <formula>0.9</formula>
    </cfRule>
  </conditionalFormatting>
  <conditionalFormatting sqref="V9:V11">
    <cfRule type="cellIs" dxfId="431" priority="35" operator="between">
      <formula>0.8</formula>
      <formula>0.9</formula>
    </cfRule>
    <cfRule type="cellIs" dxfId="430" priority="36" operator="lessThan">
      <formula>0.8</formula>
    </cfRule>
    <cfRule type="cellIs" dxfId="429" priority="34" operator="greaterThanOrEqual">
      <formula>0.9</formula>
    </cfRule>
  </conditionalFormatting>
  <conditionalFormatting sqref="V13:V16">
    <cfRule type="cellIs" dxfId="428" priority="54" operator="lessThan">
      <formula>0.8</formula>
    </cfRule>
    <cfRule type="cellIs" dxfId="427" priority="52" operator="greaterThanOrEqual">
      <formula>0.9</formula>
    </cfRule>
    <cfRule type="cellIs" dxfId="426" priority="53" operator="between">
      <formula>0.8</formula>
      <formula>0.9</formula>
    </cfRule>
  </conditionalFormatting>
  <conditionalFormatting sqref="V18:V19">
    <cfRule type="cellIs" dxfId="425" priority="72" operator="lessThan">
      <formula>0.8</formula>
    </cfRule>
    <cfRule type="cellIs" dxfId="424" priority="71" operator="between">
      <formula>0.8</formula>
      <formula>0.9</formula>
    </cfRule>
    <cfRule type="cellIs" dxfId="423" priority="70" operator="greaterThanOrEqual">
      <formula>0.9</formula>
    </cfRule>
  </conditionalFormatting>
  <conditionalFormatting sqref="V21:V25">
    <cfRule type="cellIs" dxfId="422" priority="88" operator="greaterThanOrEqual">
      <formula>0.9</formula>
    </cfRule>
    <cfRule type="cellIs" dxfId="421" priority="90" operator="lessThan">
      <formula>0.8</formula>
    </cfRule>
    <cfRule type="cellIs" dxfId="420" priority="89" operator="between">
      <formula>0.8</formula>
      <formula>0.9</formula>
    </cfRule>
  </conditionalFormatting>
  <conditionalFormatting sqref="V27:V30">
    <cfRule type="cellIs" dxfId="419" priority="108" operator="lessThan">
      <formula>0.8</formula>
    </cfRule>
    <cfRule type="cellIs" dxfId="418" priority="107" operator="between">
      <formula>0.8</formula>
      <formula>0.9</formula>
    </cfRule>
    <cfRule type="cellIs" dxfId="417" priority="106" operator="greaterThanOrEqual">
      <formula>0.9</formula>
    </cfRule>
  </conditionalFormatting>
  <conditionalFormatting sqref="V32:V36">
    <cfRule type="cellIs" dxfId="416" priority="124" operator="greaterThanOrEqual">
      <formula>0.9</formula>
    </cfRule>
    <cfRule type="cellIs" dxfId="415" priority="126" operator="lessThan">
      <formula>0.8</formula>
    </cfRule>
    <cfRule type="cellIs" dxfId="414" priority="125" operator="between">
      <formula>0.8</formula>
      <formula>0.9</formula>
    </cfRule>
  </conditionalFormatting>
  <conditionalFormatting sqref="V38:V45">
    <cfRule type="cellIs" dxfId="413" priority="142" operator="greaterThanOrEqual">
      <formula>0.9</formula>
    </cfRule>
    <cfRule type="cellIs" dxfId="412" priority="143" operator="between">
      <formula>0.8</formula>
      <formula>0.9</formula>
    </cfRule>
    <cfRule type="cellIs" dxfId="411" priority="144" operator="lessThan">
      <formula>0.8</formula>
    </cfRule>
  </conditionalFormatting>
  <conditionalFormatting sqref="V47">
    <cfRule type="cellIs" dxfId="410" priority="178" operator="greaterThanOrEqual">
      <formula>0.9</formula>
    </cfRule>
    <cfRule type="cellIs" dxfId="409" priority="179" operator="between">
      <formula>0.8</formula>
      <formula>0.9</formula>
    </cfRule>
    <cfRule type="cellIs" dxfId="408" priority="180" operator="lessThan">
      <formula>0.8</formula>
    </cfRule>
  </conditionalFormatting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tabColor theme="5"/>
  </sheetPr>
  <dimension ref="A1:V42"/>
  <sheetViews>
    <sheetView zoomScale="102" workbookViewId="0">
      <selection activeCell="L23" sqref="L23"/>
    </sheetView>
  </sheetViews>
  <sheetFormatPr defaultRowHeight="14" x14ac:dyDescent="0.25"/>
  <cols>
    <col min="1" max="1" width="26" customWidth="1"/>
    <col min="2" max="11" width="9" customWidth="1"/>
    <col min="12" max="12" width="11.90625" customWidth="1"/>
    <col min="13" max="22" width="9" customWidth="1"/>
  </cols>
  <sheetData>
    <row r="1" spans="1:22" ht="30" customHeight="1" x14ac:dyDescent="0.25">
      <c r="A1" s="72" t="s">
        <v>211</v>
      </c>
      <c r="B1" s="55"/>
      <c r="C1" s="55"/>
      <c r="D1" s="55"/>
      <c r="E1" s="55"/>
      <c r="F1" s="55"/>
      <c r="G1" s="55"/>
      <c r="H1" s="55"/>
      <c r="I1" s="55"/>
      <c r="J1" s="55"/>
      <c r="K1" s="55"/>
      <c r="L1" s="55"/>
      <c r="M1" s="55"/>
      <c r="N1" s="55"/>
      <c r="O1" s="55"/>
      <c r="P1" s="55"/>
      <c r="Q1" s="55"/>
      <c r="R1" s="55"/>
      <c r="S1" s="55"/>
      <c r="T1" s="55"/>
      <c r="U1" s="55"/>
      <c r="V1" s="55"/>
    </row>
    <row r="2" spans="1:22" ht="6" customHeight="1" x14ac:dyDescent="0.25"/>
    <row r="3" spans="1:22" ht="24" customHeight="1" x14ac:dyDescent="0.25">
      <c r="A3" s="76" t="s">
        <v>160</v>
      </c>
      <c r="B3" s="59"/>
      <c r="C3" s="59"/>
      <c r="D3" s="59"/>
      <c r="E3" s="59"/>
      <c r="F3" s="59"/>
      <c r="G3" s="59"/>
      <c r="H3" s="59"/>
      <c r="I3" s="59"/>
      <c r="J3" s="59"/>
      <c r="K3" s="60"/>
      <c r="L3" s="11"/>
      <c r="M3" s="75" t="s">
        <v>161</v>
      </c>
      <c r="N3" s="59"/>
      <c r="O3" s="59"/>
      <c r="P3" s="59"/>
      <c r="Q3" s="59"/>
      <c r="R3" s="59"/>
      <c r="S3" s="59"/>
      <c r="T3" s="59"/>
      <c r="U3" s="59"/>
      <c r="V3" s="60"/>
    </row>
    <row r="4" spans="1:22" ht="24" customHeight="1" x14ac:dyDescent="0.25">
      <c r="A4" s="12" t="s">
        <v>162</v>
      </c>
      <c r="B4" s="12" t="s">
        <v>7</v>
      </c>
      <c r="C4" s="12" t="s">
        <v>51</v>
      </c>
      <c r="D4" s="12" t="s">
        <v>10</v>
      </c>
      <c r="E4" s="12" t="s">
        <v>11</v>
      </c>
      <c r="F4" s="12" t="s">
        <v>163</v>
      </c>
      <c r="G4" s="12" t="s">
        <v>164</v>
      </c>
      <c r="H4" s="12" t="s">
        <v>165</v>
      </c>
      <c r="I4" s="12" t="s">
        <v>166</v>
      </c>
      <c r="J4" s="12" t="s">
        <v>167</v>
      </c>
      <c r="K4" s="12" t="s">
        <v>168</v>
      </c>
      <c r="M4" s="12" t="s">
        <v>7</v>
      </c>
      <c r="N4" s="12" t="s">
        <v>51</v>
      </c>
      <c r="O4" s="12" t="s">
        <v>10</v>
      </c>
      <c r="P4" s="12" t="s">
        <v>11</v>
      </c>
      <c r="Q4" s="12" t="s">
        <v>163</v>
      </c>
      <c r="R4" s="12" t="s">
        <v>164</v>
      </c>
      <c r="S4" s="12" t="s">
        <v>165</v>
      </c>
      <c r="T4" s="12" t="s">
        <v>166</v>
      </c>
      <c r="U4" s="12" t="s">
        <v>167</v>
      </c>
      <c r="V4" s="12" t="s">
        <v>168</v>
      </c>
    </row>
    <row r="5" spans="1:22" ht="22" customHeight="1" x14ac:dyDescent="0.25">
      <c r="A5" s="13" t="s">
        <v>212</v>
      </c>
      <c r="B5" s="11"/>
      <c r="C5" s="11"/>
      <c r="D5" s="11"/>
      <c r="E5" s="11"/>
      <c r="F5" s="11"/>
      <c r="G5" s="11"/>
      <c r="H5" s="11"/>
      <c r="I5" s="11"/>
      <c r="J5" s="11"/>
      <c r="K5" s="11"/>
      <c r="L5" s="11"/>
      <c r="M5" s="11"/>
      <c r="N5" s="11"/>
      <c r="O5" s="11"/>
      <c r="P5" s="11"/>
      <c r="Q5" s="11"/>
      <c r="R5" s="11"/>
      <c r="S5" s="11"/>
      <c r="T5" s="11"/>
      <c r="U5" s="11"/>
      <c r="V5" s="11"/>
    </row>
    <row r="6" spans="1:22" ht="15" customHeight="1" x14ac:dyDescent="0.25">
      <c r="A6" s="14" t="s">
        <v>213</v>
      </c>
      <c r="B6" s="15">
        <v>507</v>
      </c>
      <c r="C6" s="15">
        <v>0</v>
      </c>
      <c r="D6" s="15">
        <v>0</v>
      </c>
      <c r="E6" s="15" t="e">
        <f>IF(AND(C6&lt;&gt;"",D6&lt;&gt;""),D6/C6,"")</f>
        <v>#DIV/0!</v>
      </c>
      <c r="F6" s="15">
        <v>0</v>
      </c>
      <c r="G6" s="15">
        <v>0</v>
      </c>
      <c r="H6" s="15" t="e">
        <f>IF(AND(F6&lt;&gt;"",G6&lt;&gt;""),G6/F6,"")</f>
        <v>#DIV/0!</v>
      </c>
      <c r="I6" s="15">
        <f t="shared" ref="I6:J8" si="0">C6-F6</f>
        <v>0</v>
      </c>
      <c r="J6" s="15">
        <f t="shared" si="0"/>
        <v>0</v>
      </c>
      <c r="K6" s="15" t="e">
        <f>IF(AND(I6&lt;&gt;"",J6&lt;&gt;""),J6/I6,"")</f>
        <v>#DIV/0!</v>
      </c>
      <c r="L6" s="11"/>
      <c r="M6" s="15"/>
      <c r="N6" s="15"/>
      <c r="O6" s="15"/>
      <c r="P6" s="15" t="str">
        <f>IF(AND(N6&lt;&gt;"",O6&lt;&gt;""),O6/N6,"")</f>
        <v/>
      </c>
      <c r="Q6" s="15"/>
      <c r="R6" s="15"/>
      <c r="S6" s="15" t="str">
        <f>IF(AND(Q6&lt;&gt;"",R6&lt;&gt;""),R6/Q6,"")</f>
        <v/>
      </c>
      <c r="T6" s="15">
        <f t="shared" ref="T6:U8" si="1">N6-Q6</f>
        <v>0</v>
      </c>
      <c r="U6" s="15">
        <f t="shared" si="1"/>
        <v>0</v>
      </c>
      <c r="V6" s="15" t="e">
        <f>IF(AND(T6&lt;&gt;"",U6&lt;&gt;""),U6/T6,"")</f>
        <v>#DIV/0!</v>
      </c>
    </row>
    <row r="7" spans="1:22" ht="15" customHeight="1" x14ac:dyDescent="0.25">
      <c r="A7" s="14" t="s">
        <v>214</v>
      </c>
      <c r="B7" s="15">
        <v>507</v>
      </c>
      <c r="C7" s="15">
        <v>14</v>
      </c>
      <c r="D7" s="15">
        <v>13</v>
      </c>
      <c r="E7" s="15">
        <f>IF(AND(C7&lt;&gt;"",D7&lt;&gt;""),D7/C7,"")</f>
        <v>0.9285714285714286</v>
      </c>
      <c r="F7" s="15">
        <v>4</v>
      </c>
      <c r="G7" s="15">
        <v>3</v>
      </c>
      <c r="H7" s="15">
        <f>IF(AND(F7&lt;&gt;"",G7&lt;&gt;""),G7/F7,"")</f>
        <v>0.75</v>
      </c>
      <c r="I7" s="15">
        <f t="shared" si="0"/>
        <v>10</v>
      </c>
      <c r="J7" s="15">
        <f t="shared" si="0"/>
        <v>10</v>
      </c>
      <c r="K7" s="15">
        <f>IF(AND(I7&lt;&gt;"",J7&lt;&gt;""),J7/I7,"")</f>
        <v>1</v>
      </c>
      <c r="L7" s="11"/>
      <c r="M7" s="15"/>
      <c r="N7" s="15"/>
      <c r="O7" s="15"/>
      <c r="P7" s="15" t="str">
        <f>IF(AND(N7&lt;&gt;"",O7&lt;&gt;""),O7/N7,"")</f>
        <v/>
      </c>
      <c r="Q7" s="15"/>
      <c r="R7" s="15"/>
      <c r="S7" s="15" t="str">
        <f>IF(AND(Q7&lt;&gt;"",R7&lt;&gt;""),R7/Q7,"")</f>
        <v/>
      </c>
      <c r="T7" s="15">
        <f t="shared" si="1"/>
        <v>0</v>
      </c>
      <c r="U7" s="15">
        <f t="shared" si="1"/>
        <v>0</v>
      </c>
      <c r="V7" s="15" t="e">
        <f>IF(AND(T7&lt;&gt;"",U7&lt;&gt;""),U7/T7,"")</f>
        <v>#DIV/0!</v>
      </c>
    </row>
    <row r="8" spans="1:22" ht="15" customHeight="1" x14ac:dyDescent="0.25">
      <c r="A8" s="14" t="s">
        <v>215</v>
      </c>
      <c r="B8" s="15">
        <v>508</v>
      </c>
      <c r="C8" s="15">
        <v>20</v>
      </c>
      <c r="D8" s="15">
        <v>12</v>
      </c>
      <c r="E8" s="15">
        <f>IF(AND(C8&lt;&gt;"",D8&lt;&gt;""),D8/C8,"")</f>
        <v>0.6</v>
      </c>
      <c r="F8" s="15">
        <v>9</v>
      </c>
      <c r="G8" s="15">
        <v>7</v>
      </c>
      <c r="H8" s="15">
        <f>IF(AND(F8&lt;&gt;"",G8&lt;&gt;""),G8/F8,"")</f>
        <v>0.77777777777777779</v>
      </c>
      <c r="I8" s="15">
        <f t="shared" si="0"/>
        <v>11</v>
      </c>
      <c r="J8" s="15">
        <f t="shared" si="0"/>
        <v>5</v>
      </c>
      <c r="K8" s="15">
        <f>IF(AND(I8&lt;&gt;"",J8&lt;&gt;""),J8/I8,"")</f>
        <v>0.45454545454545453</v>
      </c>
      <c r="L8" s="11"/>
      <c r="M8" s="15"/>
      <c r="N8" s="15"/>
      <c r="O8" s="15"/>
      <c r="P8" s="15" t="str">
        <f>IF(AND(N8&lt;&gt;"",O8&lt;&gt;""),O8/N8,"")</f>
        <v/>
      </c>
      <c r="Q8" s="15"/>
      <c r="R8" s="15"/>
      <c r="S8" s="15" t="str">
        <f>IF(AND(Q8&lt;&gt;"",R8&lt;&gt;""),R8/Q8,"")</f>
        <v/>
      </c>
      <c r="T8" s="15">
        <f t="shared" si="1"/>
        <v>0</v>
      </c>
      <c r="U8" s="15">
        <f t="shared" si="1"/>
        <v>0</v>
      </c>
      <c r="V8" s="15" t="e">
        <f>IF(AND(T8&lt;&gt;"",U8&lt;&gt;""),U8/T8,"")</f>
        <v>#DIV/0!</v>
      </c>
    </row>
    <row r="9" spans="1:22" ht="22" customHeight="1" x14ac:dyDescent="0.25">
      <c r="A9" s="13" t="s">
        <v>216</v>
      </c>
      <c r="B9" s="11"/>
      <c r="C9" s="11"/>
      <c r="D9" s="11"/>
      <c r="E9" s="11"/>
      <c r="F9" s="11"/>
      <c r="G9" s="11"/>
      <c r="H9" s="11"/>
      <c r="I9" s="11"/>
      <c r="J9" s="11"/>
      <c r="K9" s="11"/>
      <c r="L9" s="11"/>
      <c r="M9" s="11"/>
      <c r="N9" s="11"/>
      <c r="O9" s="11"/>
      <c r="P9" s="11"/>
      <c r="Q9" s="11"/>
      <c r="R9" s="11"/>
      <c r="S9" s="11"/>
      <c r="T9" s="11"/>
      <c r="U9" s="11"/>
      <c r="V9" s="11"/>
    </row>
    <row r="10" spans="1:22" ht="15" customHeight="1" x14ac:dyDescent="0.25">
      <c r="A10" s="14" t="s">
        <v>217</v>
      </c>
      <c r="B10" s="15">
        <v>509</v>
      </c>
      <c r="C10" s="15">
        <v>34</v>
      </c>
      <c r="D10" s="15">
        <v>25</v>
      </c>
      <c r="E10" s="15">
        <f>IF(AND(C10&lt;&gt;"",D10&lt;&gt;""),D10/C10,"")</f>
        <v>0.73529411764705888</v>
      </c>
      <c r="F10" s="15">
        <v>8</v>
      </c>
      <c r="G10" s="15">
        <v>4</v>
      </c>
      <c r="H10" s="15">
        <f>IF(AND(F10&lt;&gt;"",G10&lt;&gt;""),G10/F10,"")</f>
        <v>0.5</v>
      </c>
      <c r="I10" s="15">
        <f t="shared" ref="I10:J12" si="2">C10-F10</f>
        <v>26</v>
      </c>
      <c r="J10" s="15">
        <f t="shared" si="2"/>
        <v>21</v>
      </c>
      <c r="K10" s="15">
        <f>IF(AND(I10&lt;&gt;"",J10&lt;&gt;""),J10/I10,"")</f>
        <v>0.80769230769230771</v>
      </c>
      <c r="L10" s="11"/>
      <c r="M10" s="15"/>
      <c r="N10" s="15"/>
      <c r="O10" s="15"/>
      <c r="P10" s="15" t="str">
        <f>IF(AND(N10&lt;&gt;"",O10&lt;&gt;""),O10/N10,"")</f>
        <v/>
      </c>
      <c r="Q10" s="15"/>
      <c r="R10" s="15"/>
      <c r="S10" s="15" t="str">
        <f>IF(AND(Q10&lt;&gt;"",R10&lt;&gt;""),R10/Q10,"")</f>
        <v/>
      </c>
      <c r="T10" s="15">
        <f t="shared" ref="T10:U12" si="3">N10-Q10</f>
        <v>0</v>
      </c>
      <c r="U10" s="15">
        <f t="shared" si="3"/>
        <v>0</v>
      </c>
      <c r="V10" s="15" t="e">
        <f>IF(AND(T10&lt;&gt;"",U10&lt;&gt;""),U10/T10,"")</f>
        <v>#DIV/0!</v>
      </c>
    </row>
    <row r="11" spans="1:22" ht="15" customHeight="1" x14ac:dyDescent="0.25">
      <c r="A11" s="14" t="s">
        <v>218</v>
      </c>
      <c r="B11" s="15">
        <v>510</v>
      </c>
      <c r="C11" s="15">
        <v>35</v>
      </c>
      <c r="D11" s="15">
        <v>25</v>
      </c>
      <c r="E11" s="15">
        <f>IF(AND(C11&lt;&gt;"",D11&lt;&gt;""),D11/C11,"")</f>
        <v>0.7142857142857143</v>
      </c>
      <c r="F11" s="15">
        <v>11</v>
      </c>
      <c r="G11" s="15">
        <v>9</v>
      </c>
      <c r="H11" s="15">
        <f>IF(AND(F11&lt;&gt;"",G11&lt;&gt;""),G11/F11,"")</f>
        <v>0.81818181818181823</v>
      </c>
      <c r="I11" s="15">
        <f t="shared" si="2"/>
        <v>24</v>
      </c>
      <c r="J11" s="15">
        <f t="shared" si="2"/>
        <v>16</v>
      </c>
      <c r="K11" s="15">
        <f>IF(AND(I11&lt;&gt;"",J11&lt;&gt;""),J11/I11,"")</f>
        <v>0.66666666666666663</v>
      </c>
      <c r="L11" s="11"/>
      <c r="M11" s="15"/>
      <c r="N11" s="15"/>
      <c r="O11" s="15"/>
      <c r="P11" s="15" t="str">
        <f>IF(AND(N11&lt;&gt;"",O11&lt;&gt;""),O11/N11,"")</f>
        <v/>
      </c>
      <c r="Q11" s="15"/>
      <c r="R11" s="15"/>
      <c r="S11" s="15" t="str">
        <f>IF(AND(Q11&lt;&gt;"",R11&lt;&gt;""),R11/Q11,"")</f>
        <v/>
      </c>
      <c r="T11" s="15">
        <f t="shared" si="3"/>
        <v>0</v>
      </c>
      <c r="U11" s="15">
        <f t="shared" si="3"/>
        <v>0</v>
      </c>
      <c r="V11" s="15" t="e">
        <f>IF(AND(T11&lt;&gt;"",U11&lt;&gt;""),U11/T11,"")</f>
        <v>#DIV/0!</v>
      </c>
    </row>
    <row r="12" spans="1:22" ht="15" customHeight="1" x14ac:dyDescent="0.25">
      <c r="A12" s="14" t="s">
        <v>219</v>
      </c>
      <c r="B12" s="15">
        <v>512</v>
      </c>
      <c r="C12" s="15">
        <v>45</v>
      </c>
      <c r="D12" s="15">
        <v>37</v>
      </c>
      <c r="E12" s="15">
        <f>IF(AND(C12&lt;&gt;"",D12&lt;&gt;""),D12/C12,"")</f>
        <v>0.82222222222222219</v>
      </c>
      <c r="F12" s="15">
        <v>20</v>
      </c>
      <c r="G12" s="15">
        <v>18</v>
      </c>
      <c r="H12" s="15">
        <f>IF(AND(F12&lt;&gt;"",G12&lt;&gt;""),G12/F12,"")</f>
        <v>0.9</v>
      </c>
      <c r="I12" s="15">
        <f t="shared" si="2"/>
        <v>25</v>
      </c>
      <c r="J12" s="15">
        <f t="shared" si="2"/>
        <v>19</v>
      </c>
      <c r="K12" s="15">
        <f>IF(AND(I12&lt;&gt;"",J12&lt;&gt;""),J12/I12,"")</f>
        <v>0.76</v>
      </c>
      <c r="L12" s="11"/>
      <c r="M12" s="15"/>
      <c r="N12" s="15"/>
      <c r="O12" s="15"/>
      <c r="P12" s="15" t="str">
        <f>IF(AND(N12&lt;&gt;"",O12&lt;&gt;""),O12/N12,"")</f>
        <v/>
      </c>
      <c r="Q12" s="15"/>
      <c r="R12" s="15"/>
      <c r="S12" s="15" t="str">
        <f>IF(AND(Q12&lt;&gt;"",R12&lt;&gt;""),R12/Q12,"")</f>
        <v/>
      </c>
      <c r="T12" s="15">
        <f t="shared" si="3"/>
        <v>0</v>
      </c>
      <c r="U12" s="15">
        <f t="shared" si="3"/>
        <v>0</v>
      </c>
      <c r="V12" s="15" t="e">
        <f>IF(AND(T12&lt;&gt;"",U12&lt;&gt;""),U12/T12,"")</f>
        <v>#DIV/0!</v>
      </c>
    </row>
    <row r="13" spans="1:22" ht="22" customHeight="1" x14ac:dyDescent="0.25">
      <c r="A13" s="13" t="s">
        <v>220</v>
      </c>
      <c r="B13" s="11"/>
      <c r="C13" s="11"/>
      <c r="D13" s="11"/>
      <c r="E13" s="11"/>
      <c r="F13" s="11"/>
      <c r="G13" s="11"/>
      <c r="H13" s="11"/>
      <c r="I13" s="11"/>
      <c r="J13" s="11"/>
      <c r="K13" s="11"/>
      <c r="L13" s="11"/>
      <c r="M13" s="11"/>
      <c r="N13" s="11"/>
      <c r="O13" s="11"/>
      <c r="P13" s="11"/>
      <c r="Q13" s="11"/>
      <c r="R13" s="11"/>
      <c r="S13" s="11"/>
      <c r="T13" s="11"/>
      <c r="U13" s="11"/>
      <c r="V13" s="11"/>
    </row>
    <row r="14" spans="1:22" ht="15" customHeight="1" x14ac:dyDescent="0.25">
      <c r="A14" s="14" t="s">
        <v>221</v>
      </c>
      <c r="B14" s="15">
        <v>513</v>
      </c>
      <c r="C14" s="15">
        <v>11</v>
      </c>
      <c r="D14" s="15">
        <v>10</v>
      </c>
      <c r="E14" s="15">
        <f t="shared" ref="E14:E19" si="4">IF(AND(C14&lt;&gt;"",D14&lt;&gt;""),D14/C14,"")</f>
        <v>0.90909090909090906</v>
      </c>
      <c r="F14" s="15">
        <v>0</v>
      </c>
      <c r="G14" s="15">
        <v>0</v>
      </c>
      <c r="H14" s="15" t="e">
        <f t="shared" ref="H14:H19" si="5">IF(AND(F14&lt;&gt;"",G14&lt;&gt;""),G14/F14,"")</f>
        <v>#DIV/0!</v>
      </c>
      <c r="I14" s="15">
        <f t="shared" ref="I14:J19" si="6">C14-F14</f>
        <v>11</v>
      </c>
      <c r="J14" s="15">
        <f t="shared" si="6"/>
        <v>10</v>
      </c>
      <c r="K14" s="15">
        <f t="shared" ref="K14:K19" si="7">IF(AND(I14&lt;&gt;"",J14&lt;&gt;""),J14/I14,"")</f>
        <v>0.90909090909090906</v>
      </c>
      <c r="L14" s="11"/>
      <c r="M14" s="15"/>
      <c r="N14" s="15"/>
      <c r="O14" s="15"/>
      <c r="P14" s="15" t="str">
        <f t="shared" ref="P14:P19" si="8">IF(AND(N14&lt;&gt;"",O14&lt;&gt;""),O14/N14,"")</f>
        <v/>
      </c>
      <c r="Q14" s="15"/>
      <c r="R14" s="15"/>
      <c r="S14" s="15" t="str">
        <f t="shared" ref="S14:S19" si="9">IF(AND(Q14&lt;&gt;"",R14&lt;&gt;""),R14/Q14,"")</f>
        <v/>
      </c>
      <c r="T14" s="15">
        <f t="shared" ref="T14:U19" si="10">N14-Q14</f>
        <v>0</v>
      </c>
      <c r="U14" s="15">
        <f t="shared" si="10"/>
        <v>0</v>
      </c>
      <c r="V14" s="15" t="e">
        <f t="shared" ref="V14:V19" si="11">IF(AND(T14&lt;&gt;"",U14&lt;&gt;""),U14/T14,"")</f>
        <v>#DIV/0!</v>
      </c>
    </row>
    <row r="15" spans="1:22" ht="15" customHeight="1" x14ac:dyDescent="0.25">
      <c r="A15" s="14" t="s">
        <v>222</v>
      </c>
      <c r="B15" s="15">
        <v>514</v>
      </c>
      <c r="C15" s="15">
        <v>37</v>
      </c>
      <c r="D15" s="15">
        <v>30</v>
      </c>
      <c r="E15" s="15">
        <f t="shared" si="4"/>
        <v>0.81081081081081086</v>
      </c>
      <c r="F15" s="15">
        <v>9</v>
      </c>
      <c r="G15" s="15">
        <v>9</v>
      </c>
      <c r="H15" s="15">
        <f t="shared" si="5"/>
        <v>1</v>
      </c>
      <c r="I15" s="15">
        <f t="shared" si="6"/>
        <v>28</v>
      </c>
      <c r="J15" s="15">
        <f t="shared" si="6"/>
        <v>21</v>
      </c>
      <c r="K15" s="15">
        <f t="shared" si="7"/>
        <v>0.75</v>
      </c>
      <c r="L15" s="11"/>
      <c r="M15" s="15"/>
      <c r="N15" s="15"/>
      <c r="O15" s="15"/>
      <c r="P15" s="15" t="str">
        <f t="shared" si="8"/>
        <v/>
      </c>
      <c r="Q15" s="15"/>
      <c r="R15" s="15"/>
      <c r="S15" s="15" t="str">
        <f t="shared" si="9"/>
        <v/>
      </c>
      <c r="T15" s="15">
        <f t="shared" si="10"/>
        <v>0</v>
      </c>
      <c r="U15" s="15">
        <f t="shared" si="10"/>
        <v>0</v>
      </c>
      <c r="V15" s="15" t="e">
        <f t="shared" si="11"/>
        <v>#DIV/0!</v>
      </c>
    </row>
    <row r="16" spans="1:22" ht="15" customHeight="1" x14ac:dyDescent="0.25">
      <c r="A16" s="14" t="s">
        <v>223</v>
      </c>
      <c r="B16" s="15">
        <v>515</v>
      </c>
      <c r="C16" s="15">
        <v>15</v>
      </c>
      <c r="D16" s="15">
        <v>11</v>
      </c>
      <c r="E16" s="15">
        <f t="shared" si="4"/>
        <v>0.73333333333333328</v>
      </c>
      <c r="F16" s="15">
        <v>6</v>
      </c>
      <c r="G16" s="15">
        <v>5</v>
      </c>
      <c r="H16" s="15">
        <f t="shared" si="5"/>
        <v>0.83333333333333337</v>
      </c>
      <c r="I16" s="15">
        <f t="shared" si="6"/>
        <v>9</v>
      </c>
      <c r="J16" s="15">
        <f t="shared" si="6"/>
        <v>6</v>
      </c>
      <c r="K16" s="15">
        <f t="shared" si="7"/>
        <v>0.66666666666666663</v>
      </c>
      <c r="L16" s="11"/>
      <c r="M16" s="15"/>
      <c r="N16" s="15"/>
      <c r="O16" s="15"/>
      <c r="P16" s="15" t="str">
        <f t="shared" si="8"/>
        <v/>
      </c>
      <c r="Q16" s="15"/>
      <c r="R16" s="15"/>
      <c r="S16" s="15" t="str">
        <f t="shared" si="9"/>
        <v/>
      </c>
      <c r="T16" s="15">
        <f t="shared" si="10"/>
        <v>0</v>
      </c>
      <c r="U16" s="15">
        <f t="shared" si="10"/>
        <v>0</v>
      </c>
      <c r="V16" s="15" t="e">
        <f t="shared" si="11"/>
        <v>#DIV/0!</v>
      </c>
    </row>
    <row r="17" spans="1:22" ht="15" customHeight="1" x14ac:dyDescent="0.25">
      <c r="A17" s="14" t="s">
        <v>224</v>
      </c>
      <c r="B17" s="15">
        <v>516</v>
      </c>
      <c r="C17" s="15">
        <v>12</v>
      </c>
      <c r="D17" s="15">
        <v>9</v>
      </c>
      <c r="E17" s="15">
        <f t="shared" si="4"/>
        <v>0.75</v>
      </c>
      <c r="F17" s="15">
        <v>4</v>
      </c>
      <c r="G17" s="15">
        <v>4</v>
      </c>
      <c r="H17" s="15">
        <f t="shared" si="5"/>
        <v>1</v>
      </c>
      <c r="I17" s="15">
        <f t="shared" si="6"/>
        <v>8</v>
      </c>
      <c r="J17" s="15">
        <f t="shared" si="6"/>
        <v>5</v>
      </c>
      <c r="K17" s="15">
        <f t="shared" si="7"/>
        <v>0.625</v>
      </c>
      <c r="L17" s="11"/>
      <c r="M17" s="15"/>
      <c r="N17" s="15"/>
      <c r="O17" s="15"/>
      <c r="P17" s="15" t="str">
        <f t="shared" si="8"/>
        <v/>
      </c>
      <c r="Q17" s="15"/>
      <c r="R17" s="15"/>
      <c r="S17" s="15" t="str">
        <f t="shared" si="9"/>
        <v/>
      </c>
      <c r="T17" s="15">
        <f t="shared" si="10"/>
        <v>0</v>
      </c>
      <c r="U17" s="15">
        <f t="shared" si="10"/>
        <v>0</v>
      </c>
      <c r="V17" s="15" t="e">
        <f t="shared" si="11"/>
        <v>#DIV/0!</v>
      </c>
    </row>
    <row r="18" spans="1:22" ht="15" customHeight="1" x14ac:dyDescent="0.25">
      <c r="A18" s="14" t="s">
        <v>225</v>
      </c>
      <c r="B18" s="15">
        <v>516</v>
      </c>
      <c r="C18" s="15">
        <v>35</v>
      </c>
      <c r="D18" s="15">
        <v>22</v>
      </c>
      <c r="E18" s="15">
        <f t="shared" si="4"/>
        <v>0.62857142857142856</v>
      </c>
      <c r="F18" s="15">
        <v>8</v>
      </c>
      <c r="G18" s="15">
        <v>6</v>
      </c>
      <c r="H18" s="15">
        <f t="shared" si="5"/>
        <v>0.75</v>
      </c>
      <c r="I18" s="15">
        <f t="shared" si="6"/>
        <v>27</v>
      </c>
      <c r="J18" s="15">
        <f t="shared" si="6"/>
        <v>16</v>
      </c>
      <c r="K18" s="15">
        <f t="shared" si="7"/>
        <v>0.59259259259259256</v>
      </c>
      <c r="L18" s="11"/>
      <c r="M18" s="15"/>
      <c r="N18" s="15"/>
      <c r="O18" s="15"/>
      <c r="P18" s="15" t="str">
        <f t="shared" si="8"/>
        <v/>
      </c>
      <c r="Q18" s="15"/>
      <c r="R18" s="15"/>
      <c r="S18" s="15" t="str">
        <f t="shared" si="9"/>
        <v/>
      </c>
      <c r="T18" s="15">
        <f t="shared" si="10"/>
        <v>0</v>
      </c>
      <c r="U18" s="15">
        <f t="shared" si="10"/>
        <v>0</v>
      </c>
      <c r="V18" s="15" t="e">
        <f t="shared" si="11"/>
        <v>#DIV/0!</v>
      </c>
    </row>
    <row r="19" spans="1:22" ht="15" customHeight="1" x14ac:dyDescent="0.25">
      <c r="A19" s="14" t="s">
        <v>226</v>
      </c>
      <c r="B19" s="15">
        <v>517</v>
      </c>
      <c r="C19" s="15">
        <v>20</v>
      </c>
      <c r="D19" s="15">
        <v>12</v>
      </c>
      <c r="E19" s="15">
        <f t="shared" si="4"/>
        <v>0.6</v>
      </c>
      <c r="F19" s="15">
        <v>9</v>
      </c>
      <c r="G19" s="15">
        <v>4</v>
      </c>
      <c r="H19" s="15">
        <f t="shared" si="5"/>
        <v>0.44444444444444442</v>
      </c>
      <c r="I19" s="15">
        <f t="shared" si="6"/>
        <v>11</v>
      </c>
      <c r="J19" s="15">
        <f t="shared" si="6"/>
        <v>8</v>
      </c>
      <c r="K19" s="15">
        <f t="shared" si="7"/>
        <v>0.72727272727272729</v>
      </c>
      <c r="L19" s="11"/>
      <c r="M19" s="15"/>
      <c r="N19" s="15"/>
      <c r="O19" s="15"/>
      <c r="P19" s="15" t="str">
        <f t="shared" si="8"/>
        <v/>
      </c>
      <c r="Q19" s="15"/>
      <c r="R19" s="15"/>
      <c r="S19" s="15" t="str">
        <f t="shared" si="9"/>
        <v/>
      </c>
      <c r="T19" s="15">
        <f t="shared" si="10"/>
        <v>0</v>
      </c>
      <c r="U19" s="15">
        <f t="shared" si="10"/>
        <v>0</v>
      </c>
      <c r="V19" s="15" t="e">
        <f t="shared" si="11"/>
        <v>#DIV/0!</v>
      </c>
    </row>
    <row r="20" spans="1:22" ht="22" customHeight="1" x14ac:dyDescent="0.25">
      <c r="A20" s="13" t="s">
        <v>227</v>
      </c>
      <c r="B20" s="11"/>
      <c r="C20" s="11"/>
      <c r="D20" s="11"/>
      <c r="E20" s="11"/>
      <c r="F20" s="11"/>
      <c r="G20" s="11"/>
      <c r="H20" s="11"/>
      <c r="I20" s="11"/>
      <c r="J20" s="11"/>
      <c r="K20" s="11"/>
      <c r="L20" s="11"/>
      <c r="M20" s="11"/>
      <c r="N20" s="11"/>
      <c r="O20" s="11"/>
      <c r="P20" s="11"/>
      <c r="Q20" s="11"/>
      <c r="R20" s="11"/>
      <c r="S20" s="11"/>
      <c r="T20" s="11"/>
      <c r="U20" s="11"/>
      <c r="V20" s="11"/>
    </row>
    <row r="21" spans="1:22" ht="15" customHeight="1" x14ac:dyDescent="0.25">
      <c r="A21" s="14" t="s">
        <v>228</v>
      </c>
      <c r="B21" s="15">
        <v>518</v>
      </c>
      <c r="C21" s="15">
        <v>16</v>
      </c>
      <c r="D21" s="15">
        <v>12</v>
      </c>
      <c r="E21" s="15">
        <f>IF(AND(C21&lt;&gt;"",D21&lt;&gt;""),D21/C21,"")</f>
        <v>0.75</v>
      </c>
      <c r="F21" s="15">
        <v>4</v>
      </c>
      <c r="G21" s="15">
        <v>3</v>
      </c>
      <c r="H21" s="15">
        <f>IF(AND(F21&lt;&gt;"",G21&lt;&gt;""),G21/F21,"")</f>
        <v>0.75</v>
      </c>
      <c r="I21" s="15">
        <f t="shared" ref="I21:J24" si="12">C21-F21</f>
        <v>12</v>
      </c>
      <c r="J21" s="15">
        <f t="shared" si="12"/>
        <v>9</v>
      </c>
      <c r="K21" s="15">
        <f>IF(AND(I21&lt;&gt;"",J21&lt;&gt;""),J21/I21,"")</f>
        <v>0.75</v>
      </c>
      <c r="L21" s="11"/>
      <c r="M21" s="15"/>
      <c r="N21" s="15"/>
      <c r="O21" s="15"/>
      <c r="P21" s="15" t="str">
        <f>IF(AND(N21&lt;&gt;"",O21&lt;&gt;""),O21/N21,"")</f>
        <v/>
      </c>
      <c r="Q21" s="15"/>
      <c r="R21" s="15"/>
      <c r="S21" s="15" t="str">
        <f>IF(AND(Q21&lt;&gt;"",R21&lt;&gt;""),R21/Q21,"")</f>
        <v/>
      </c>
      <c r="T21" s="15">
        <f t="shared" ref="T21:U24" si="13">N21-Q21</f>
        <v>0</v>
      </c>
      <c r="U21" s="15">
        <f t="shared" si="13"/>
        <v>0</v>
      </c>
      <c r="V21" s="15" t="e">
        <f>IF(AND(T21&lt;&gt;"",U21&lt;&gt;""),U21/T21,"")</f>
        <v>#DIV/0!</v>
      </c>
    </row>
    <row r="22" spans="1:22" ht="15" customHeight="1" x14ac:dyDescent="0.25">
      <c r="A22" s="14" t="s">
        <v>229</v>
      </c>
      <c r="B22" s="15">
        <v>518</v>
      </c>
      <c r="C22" s="15">
        <v>33</v>
      </c>
      <c r="D22" s="15">
        <v>25</v>
      </c>
      <c r="E22" s="15">
        <f>IF(AND(C22&lt;&gt;"",D22&lt;&gt;""),D22/C22,"")</f>
        <v>0.75757575757575757</v>
      </c>
      <c r="F22" s="15">
        <v>11</v>
      </c>
      <c r="G22" s="15">
        <v>10</v>
      </c>
      <c r="H22" s="15">
        <f>IF(AND(F22&lt;&gt;"",G22&lt;&gt;""),G22/F22,"")</f>
        <v>0.90909090909090906</v>
      </c>
      <c r="I22" s="15">
        <f t="shared" si="12"/>
        <v>22</v>
      </c>
      <c r="J22" s="15">
        <f t="shared" si="12"/>
        <v>15</v>
      </c>
      <c r="K22" s="15">
        <f>IF(AND(I22&lt;&gt;"",J22&lt;&gt;""),J22/I22,"")</f>
        <v>0.68181818181818177</v>
      </c>
      <c r="L22" s="11"/>
      <c r="M22" s="15"/>
      <c r="N22" s="15"/>
      <c r="O22" s="15"/>
      <c r="P22" s="15" t="str">
        <f>IF(AND(N22&lt;&gt;"",O22&lt;&gt;""),O22/N22,"")</f>
        <v/>
      </c>
      <c r="Q22" s="15"/>
      <c r="R22" s="15"/>
      <c r="S22" s="15" t="str">
        <f>IF(AND(Q22&lt;&gt;"",R22&lt;&gt;""),R22/Q22,"")</f>
        <v/>
      </c>
      <c r="T22" s="15">
        <f t="shared" si="13"/>
        <v>0</v>
      </c>
      <c r="U22" s="15">
        <f t="shared" si="13"/>
        <v>0</v>
      </c>
      <c r="V22" s="15" t="e">
        <f>IF(AND(T22&lt;&gt;"",U22&lt;&gt;""),U22/T22,"")</f>
        <v>#DIV/0!</v>
      </c>
    </row>
    <row r="23" spans="1:22" ht="15" customHeight="1" x14ac:dyDescent="0.25">
      <c r="A23" s="14" t="s">
        <v>230</v>
      </c>
      <c r="B23" s="15">
        <v>519</v>
      </c>
      <c r="C23" s="15"/>
      <c r="D23" s="15"/>
      <c r="E23" s="15" t="str">
        <f>IF(AND(C23&lt;&gt;"",D23&lt;&gt;""),D23/C23,"")</f>
        <v/>
      </c>
      <c r="F23" s="15">
        <v>0</v>
      </c>
      <c r="G23" s="15">
        <v>0</v>
      </c>
      <c r="H23" s="15" t="e">
        <f>IF(AND(F23&lt;&gt;"",G23&lt;&gt;""),G23/F23,"")</f>
        <v>#DIV/0!</v>
      </c>
      <c r="I23" s="15">
        <f t="shared" si="12"/>
        <v>0</v>
      </c>
      <c r="J23" s="15">
        <f t="shared" si="12"/>
        <v>0</v>
      </c>
      <c r="K23" s="15" t="e">
        <f>IF(AND(I23&lt;&gt;"",J23&lt;&gt;""),J23/I23,"")</f>
        <v>#DIV/0!</v>
      </c>
      <c r="L23" s="44" t="s">
        <v>209</v>
      </c>
      <c r="M23" s="15"/>
      <c r="N23" s="15"/>
      <c r="O23" s="15"/>
      <c r="P23" s="15" t="str">
        <f>IF(AND(N23&lt;&gt;"",O23&lt;&gt;""),O23/N23,"")</f>
        <v/>
      </c>
      <c r="Q23" s="15"/>
      <c r="R23" s="15"/>
      <c r="S23" s="15" t="str">
        <f>IF(AND(Q23&lt;&gt;"",R23&lt;&gt;""),R23/Q23,"")</f>
        <v/>
      </c>
      <c r="T23" s="15">
        <f t="shared" si="13"/>
        <v>0</v>
      </c>
      <c r="U23" s="15">
        <f t="shared" si="13"/>
        <v>0</v>
      </c>
      <c r="V23" s="15" t="e">
        <f>IF(AND(T23&lt;&gt;"",U23&lt;&gt;""),U23/T23,"")</f>
        <v>#DIV/0!</v>
      </c>
    </row>
    <row r="24" spans="1:22" ht="15" customHeight="1" x14ac:dyDescent="0.25">
      <c r="A24" s="14" t="s">
        <v>231</v>
      </c>
      <c r="B24" s="15">
        <v>520</v>
      </c>
      <c r="C24" s="15">
        <v>6</v>
      </c>
      <c r="D24" s="15">
        <v>6</v>
      </c>
      <c r="E24" s="15">
        <f>IF(AND(C24&lt;&gt;"",D24&lt;&gt;""),D24/C24,"")</f>
        <v>1</v>
      </c>
      <c r="F24" s="15">
        <v>2</v>
      </c>
      <c r="G24" s="15">
        <v>2</v>
      </c>
      <c r="H24" s="15">
        <f>IF(AND(F24&lt;&gt;"",G24&lt;&gt;""),G24/F24,"")</f>
        <v>1</v>
      </c>
      <c r="I24" s="15">
        <f t="shared" si="12"/>
        <v>4</v>
      </c>
      <c r="J24" s="15">
        <f t="shared" si="12"/>
        <v>4</v>
      </c>
      <c r="K24" s="15">
        <f>IF(AND(I24&lt;&gt;"",J24&lt;&gt;""),J24/I24,"")</f>
        <v>1</v>
      </c>
      <c r="L24" s="11"/>
      <c r="M24" s="15"/>
      <c r="N24" s="15"/>
      <c r="O24" s="15"/>
      <c r="P24" s="15" t="str">
        <f>IF(AND(N24&lt;&gt;"",O24&lt;&gt;""),O24/N24,"")</f>
        <v/>
      </c>
      <c r="Q24" s="15"/>
      <c r="R24" s="15"/>
      <c r="S24" s="15" t="str">
        <f>IF(AND(Q24&lt;&gt;"",R24&lt;&gt;""),R24/Q24,"")</f>
        <v/>
      </c>
      <c r="T24" s="15">
        <f t="shared" si="13"/>
        <v>0</v>
      </c>
      <c r="U24" s="15">
        <f t="shared" si="13"/>
        <v>0</v>
      </c>
      <c r="V24" s="15" t="e">
        <f>IF(AND(T24&lt;&gt;"",U24&lt;&gt;""),U24/T24,"")</f>
        <v>#DIV/0!</v>
      </c>
    </row>
    <row r="25" spans="1:22" ht="22" customHeight="1" x14ac:dyDescent="0.25">
      <c r="A25" s="13" t="s">
        <v>232</v>
      </c>
      <c r="B25" s="11"/>
      <c r="C25" s="11"/>
      <c r="D25" s="11"/>
      <c r="E25" s="11"/>
      <c r="F25" s="11"/>
      <c r="G25" s="11"/>
      <c r="H25" s="11"/>
      <c r="I25" s="11"/>
      <c r="J25" s="11"/>
      <c r="K25" s="11"/>
      <c r="L25" s="11"/>
      <c r="M25" s="11"/>
      <c r="N25" s="11"/>
      <c r="O25" s="11"/>
      <c r="P25" s="11"/>
      <c r="Q25" s="11"/>
      <c r="R25" s="11"/>
      <c r="S25" s="11"/>
      <c r="T25" s="11"/>
      <c r="U25" s="11"/>
      <c r="V25" s="11"/>
    </row>
    <row r="26" spans="1:22" ht="15" customHeight="1" x14ac:dyDescent="0.25">
      <c r="A26" s="14" t="s">
        <v>233</v>
      </c>
      <c r="B26" s="15">
        <v>521</v>
      </c>
      <c r="C26" s="15">
        <v>24</v>
      </c>
      <c r="D26" s="15">
        <v>15</v>
      </c>
      <c r="E26" s="15">
        <f t="shared" ref="E26:E32" si="14">IF(AND(C26&lt;&gt;"",D26&lt;&gt;""),D26/C26,"")</f>
        <v>0.625</v>
      </c>
      <c r="F26" s="15">
        <v>3</v>
      </c>
      <c r="G26" s="15">
        <v>2</v>
      </c>
      <c r="H26" s="15">
        <f t="shared" ref="H26:H32" si="15">IF(AND(F26&lt;&gt;"",G26&lt;&gt;""),G26/F26,"")</f>
        <v>0.66666666666666663</v>
      </c>
      <c r="I26" s="15">
        <f t="shared" ref="I26:J32" si="16">C26-F26</f>
        <v>21</v>
      </c>
      <c r="J26" s="15">
        <f t="shared" si="16"/>
        <v>13</v>
      </c>
      <c r="K26" s="15">
        <f t="shared" ref="K26:K32" si="17">IF(AND(I26&lt;&gt;"",J26&lt;&gt;""),J26/I26,"")</f>
        <v>0.61904761904761907</v>
      </c>
      <c r="L26" s="11"/>
      <c r="M26" s="15"/>
      <c r="N26" s="15"/>
      <c r="O26" s="15"/>
      <c r="P26" s="15" t="str">
        <f t="shared" ref="P26:P32" si="18">IF(AND(N26&lt;&gt;"",O26&lt;&gt;""),O26/N26,"")</f>
        <v/>
      </c>
      <c r="Q26" s="15"/>
      <c r="R26" s="15"/>
      <c r="S26" s="15" t="str">
        <f t="shared" ref="S26:S32" si="19">IF(AND(Q26&lt;&gt;"",R26&lt;&gt;""),R26/Q26,"")</f>
        <v/>
      </c>
      <c r="T26" s="15">
        <f t="shared" ref="T26:U32" si="20">N26-Q26</f>
        <v>0</v>
      </c>
      <c r="U26" s="15">
        <f t="shared" si="20"/>
        <v>0</v>
      </c>
      <c r="V26" s="15" t="e">
        <f t="shared" ref="V26:V32" si="21">IF(AND(T26&lt;&gt;"",U26&lt;&gt;""),U26/T26,"")</f>
        <v>#DIV/0!</v>
      </c>
    </row>
    <row r="27" spans="1:22" ht="15" customHeight="1" x14ac:dyDescent="0.25">
      <c r="A27" s="14" t="s">
        <v>234</v>
      </c>
      <c r="B27" s="15">
        <v>521</v>
      </c>
      <c r="C27" s="15">
        <v>11</v>
      </c>
      <c r="D27" s="15">
        <v>8</v>
      </c>
      <c r="E27" s="15">
        <f t="shared" si="14"/>
        <v>0.72727272727272729</v>
      </c>
      <c r="F27" s="15">
        <v>2</v>
      </c>
      <c r="G27" s="15">
        <v>0</v>
      </c>
      <c r="H27" s="15">
        <f t="shared" si="15"/>
        <v>0</v>
      </c>
      <c r="I27" s="15">
        <f t="shared" si="16"/>
        <v>9</v>
      </c>
      <c r="J27" s="15">
        <f t="shared" si="16"/>
        <v>8</v>
      </c>
      <c r="K27" s="15">
        <f t="shared" si="17"/>
        <v>0.88888888888888884</v>
      </c>
      <c r="L27" s="11"/>
      <c r="M27" s="15"/>
      <c r="N27" s="15"/>
      <c r="O27" s="15"/>
      <c r="P27" s="15" t="str">
        <f t="shared" si="18"/>
        <v/>
      </c>
      <c r="Q27" s="15"/>
      <c r="R27" s="15"/>
      <c r="S27" s="15" t="str">
        <f t="shared" si="19"/>
        <v/>
      </c>
      <c r="T27" s="15">
        <f t="shared" si="20"/>
        <v>0</v>
      </c>
      <c r="U27" s="15">
        <f t="shared" si="20"/>
        <v>0</v>
      </c>
      <c r="V27" s="15" t="e">
        <f t="shared" si="21"/>
        <v>#DIV/0!</v>
      </c>
    </row>
    <row r="28" spans="1:22" ht="15" customHeight="1" x14ac:dyDescent="0.25">
      <c r="A28" s="14" t="s">
        <v>235</v>
      </c>
      <c r="B28" s="15">
        <v>522</v>
      </c>
      <c r="C28" s="15">
        <v>18</v>
      </c>
      <c r="D28" s="15">
        <v>12</v>
      </c>
      <c r="E28" s="15">
        <f t="shared" si="14"/>
        <v>0.66666666666666663</v>
      </c>
      <c r="F28" s="15">
        <v>4</v>
      </c>
      <c r="G28" s="15">
        <v>3</v>
      </c>
      <c r="H28" s="15">
        <f t="shared" si="15"/>
        <v>0.75</v>
      </c>
      <c r="I28" s="15">
        <f t="shared" si="16"/>
        <v>14</v>
      </c>
      <c r="J28" s="15">
        <f t="shared" si="16"/>
        <v>9</v>
      </c>
      <c r="K28" s="15">
        <f t="shared" si="17"/>
        <v>0.6428571428571429</v>
      </c>
      <c r="L28" s="11"/>
      <c r="M28" s="15"/>
      <c r="N28" s="15"/>
      <c r="O28" s="15"/>
      <c r="P28" s="15" t="str">
        <f t="shared" si="18"/>
        <v/>
      </c>
      <c r="Q28" s="15"/>
      <c r="R28" s="15"/>
      <c r="S28" s="15" t="str">
        <f t="shared" si="19"/>
        <v/>
      </c>
      <c r="T28" s="15">
        <f t="shared" si="20"/>
        <v>0</v>
      </c>
      <c r="U28" s="15">
        <f t="shared" si="20"/>
        <v>0</v>
      </c>
      <c r="V28" s="15" t="e">
        <f t="shared" si="21"/>
        <v>#DIV/0!</v>
      </c>
    </row>
    <row r="29" spans="1:22" ht="15" customHeight="1" x14ac:dyDescent="0.25">
      <c r="A29" s="14" t="s">
        <v>236</v>
      </c>
      <c r="B29" s="15">
        <v>523</v>
      </c>
      <c r="C29" s="15">
        <v>27</v>
      </c>
      <c r="D29" s="15">
        <v>22</v>
      </c>
      <c r="E29" s="15">
        <f t="shared" si="14"/>
        <v>0.81481481481481477</v>
      </c>
      <c r="F29" s="15">
        <v>7</v>
      </c>
      <c r="G29" s="15">
        <v>6</v>
      </c>
      <c r="H29" s="15">
        <f t="shared" si="15"/>
        <v>0.8571428571428571</v>
      </c>
      <c r="I29" s="15">
        <f t="shared" si="16"/>
        <v>20</v>
      </c>
      <c r="J29" s="15">
        <f t="shared" si="16"/>
        <v>16</v>
      </c>
      <c r="K29" s="15">
        <f t="shared" si="17"/>
        <v>0.8</v>
      </c>
      <c r="L29" s="11"/>
      <c r="M29" s="15"/>
      <c r="N29" s="15"/>
      <c r="O29" s="15"/>
      <c r="P29" s="15" t="str">
        <f t="shared" si="18"/>
        <v/>
      </c>
      <c r="Q29" s="15"/>
      <c r="R29" s="15"/>
      <c r="S29" s="15" t="str">
        <f t="shared" si="19"/>
        <v/>
      </c>
      <c r="T29" s="15">
        <f t="shared" si="20"/>
        <v>0</v>
      </c>
      <c r="U29" s="15">
        <f t="shared" si="20"/>
        <v>0</v>
      </c>
      <c r="V29" s="15" t="e">
        <f t="shared" si="21"/>
        <v>#DIV/0!</v>
      </c>
    </row>
    <row r="30" spans="1:22" ht="15" customHeight="1" x14ac:dyDescent="0.25">
      <c r="A30" s="14" t="s">
        <v>237</v>
      </c>
      <c r="B30" s="15">
        <v>524</v>
      </c>
      <c r="C30" s="15">
        <v>13</v>
      </c>
      <c r="D30" s="15">
        <v>7</v>
      </c>
      <c r="E30" s="15">
        <f t="shared" si="14"/>
        <v>0.53846153846153844</v>
      </c>
      <c r="F30" s="15">
        <v>4</v>
      </c>
      <c r="G30" s="15">
        <v>4</v>
      </c>
      <c r="H30" s="15">
        <f t="shared" si="15"/>
        <v>1</v>
      </c>
      <c r="I30" s="15">
        <f t="shared" si="16"/>
        <v>9</v>
      </c>
      <c r="J30" s="15">
        <f t="shared" si="16"/>
        <v>3</v>
      </c>
      <c r="K30" s="15">
        <f t="shared" si="17"/>
        <v>0.33333333333333331</v>
      </c>
      <c r="L30" s="11"/>
      <c r="M30" s="15"/>
      <c r="N30" s="15"/>
      <c r="O30" s="15"/>
      <c r="P30" s="15" t="str">
        <f t="shared" si="18"/>
        <v/>
      </c>
      <c r="Q30" s="15"/>
      <c r="R30" s="15"/>
      <c r="S30" s="15" t="str">
        <f t="shared" si="19"/>
        <v/>
      </c>
      <c r="T30" s="15">
        <f t="shared" si="20"/>
        <v>0</v>
      </c>
      <c r="U30" s="15">
        <f t="shared" si="20"/>
        <v>0</v>
      </c>
      <c r="V30" s="15" t="e">
        <f t="shared" si="21"/>
        <v>#DIV/0!</v>
      </c>
    </row>
    <row r="31" spans="1:22" ht="15" customHeight="1" x14ac:dyDescent="0.25">
      <c r="A31" s="14" t="s">
        <v>238</v>
      </c>
      <c r="B31" s="15">
        <v>525</v>
      </c>
      <c r="C31" s="15">
        <v>33</v>
      </c>
      <c r="D31" s="15">
        <v>31</v>
      </c>
      <c r="E31" s="15">
        <f t="shared" si="14"/>
        <v>0.93939393939393945</v>
      </c>
      <c r="F31" s="15">
        <v>15</v>
      </c>
      <c r="G31" s="15">
        <v>14</v>
      </c>
      <c r="H31" s="15">
        <f t="shared" si="15"/>
        <v>0.93333333333333335</v>
      </c>
      <c r="I31" s="15">
        <f t="shared" si="16"/>
        <v>18</v>
      </c>
      <c r="J31" s="15">
        <f t="shared" si="16"/>
        <v>17</v>
      </c>
      <c r="K31" s="15">
        <f t="shared" si="17"/>
        <v>0.94444444444444442</v>
      </c>
      <c r="L31" s="11"/>
      <c r="M31" s="15"/>
      <c r="N31" s="15"/>
      <c r="O31" s="15"/>
      <c r="P31" s="15" t="str">
        <f t="shared" si="18"/>
        <v/>
      </c>
      <c r="Q31" s="15"/>
      <c r="R31" s="15"/>
      <c r="S31" s="15" t="str">
        <f t="shared" si="19"/>
        <v/>
      </c>
      <c r="T31" s="15">
        <f t="shared" si="20"/>
        <v>0</v>
      </c>
      <c r="U31" s="15">
        <f t="shared" si="20"/>
        <v>0</v>
      </c>
      <c r="V31" s="15" t="e">
        <f t="shared" si="21"/>
        <v>#DIV/0!</v>
      </c>
    </row>
    <row r="32" spans="1:22" ht="15" customHeight="1" x14ac:dyDescent="0.25">
      <c r="A32" s="14" t="s">
        <v>239</v>
      </c>
      <c r="B32" s="15">
        <v>525</v>
      </c>
      <c r="C32" s="15">
        <v>12</v>
      </c>
      <c r="D32" s="15">
        <v>10</v>
      </c>
      <c r="E32" s="15">
        <f t="shared" si="14"/>
        <v>0.83333333333333337</v>
      </c>
      <c r="F32" s="15">
        <v>1</v>
      </c>
      <c r="G32" s="15">
        <v>1</v>
      </c>
      <c r="H32" s="15">
        <f t="shared" si="15"/>
        <v>1</v>
      </c>
      <c r="I32" s="15">
        <f t="shared" si="16"/>
        <v>11</v>
      </c>
      <c r="J32" s="15">
        <f t="shared" si="16"/>
        <v>9</v>
      </c>
      <c r="K32" s="15">
        <f t="shared" si="17"/>
        <v>0.81818181818181823</v>
      </c>
      <c r="L32" s="11"/>
      <c r="M32" s="15"/>
      <c r="N32" s="15"/>
      <c r="O32" s="15"/>
      <c r="P32" s="15" t="str">
        <f t="shared" si="18"/>
        <v/>
      </c>
      <c r="Q32" s="15"/>
      <c r="R32" s="15"/>
      <c r="S32" s="15" t="str">
        <f t="shared" si="19"/>
        <v/>
      </c>
      <c r="T32" s="15">
        <f t="shared" si="20"/>
        <v>0</v>
      </c>
      <c r="U32" s="15">
        <f t="shared" si="20"/>
        <v>0</v>
      </c>
      <c r="V32" s="15" t="e">
        <f t="shared" si="21"/>
        <v>#DIV/0!</v>
      </c>
    </row>
    <row r="33" spans="1:22" ht="22" customHeight="1" x14ac:dyDescent="0.25">
      <c r="A33" s="13" t="s">
        <v>240</v>
      </c>
      <c r="B33" s="11"/>
      <c r="C33" s="11"/>
      <c r="D33" s="11"/>
      <c r="E33" s="11"/>
      <c r="F33" s="11"/>
      <c r="G33" s="11"/>
      <c r="H33" s="11"/>
      <c r="I33" s="11"/>
      <c r="J33" s="11"/>
      <c r="K33" s="11"/>
      <c r="L33" s="11"/>
      <c r="M33" s="11"/>
      <c r="N33" s="11"/>
      <c r="O33" s="11"/>
      <c r="P33" s="11"/>
      <c r="Q33" s="11"/>
      <c r="R33" s="11"/>
      <c r="S33" s="11"/>
      <c r="T33" s="11"/>
      <c r="U33" s="11"/>
      <c r="V33" s="11"/>
    </row>
    <row r="34" spans="1:22" ht="15" customHeight="1" x14ac:dyDescent="0.25">
      <c r="A34" s="14" t="s">
        <v>241</v>
      </c>
      <c r="B34" s="15">
        <v>526</v>
      </c>
      <c r="C34" s="15">
        <v>25</v>
      </c>
      <c r="D34" s="15">
        <v>20</v>
      </c>
      <c r="E34" s="15">
        <f>IF(AND(C34&lt;&gt;"",D34&lt;&gt;""),D34/C34,"")</f>
        <v>0.8</v>
      </c>
      <c r="F34" s="15">
        <v>10</v>
      </c>
      <c r="G34" s="15">
        <v>8</v>
      </c>
      <c r="H34" s="15">
        <f>IF(AND(F34&lt;&gt;"",G34&lt;&gt;""),G34/F34,"")</f>
        <v>0.8</v>
      </c>
      <c r="I34" s="15">
        <f>C34-F34</f>
        <v>15</v>
      </c>
      <c r="J34" s="15">
        <f>D34-G34</f>
        <v>12</v>
      </c>
      <c r="K34" s="15">
        <f>IF(AND(I34&lt;&gt;"",J34&lt;&gt;""),J34/I34,"")</f>
        <v>0.8</v>
      </c>
      <c r="L34" s="11"/>
      <c r="M34" s="15"/>
      <c r="N34" s="15"/>
      <c r="O34" s="15"/>
      <c r="P34" s="15" t="str">
        <f>IF(AND(N34&lt;&gt;"",O34&lt;&gt;""),O34/N34,"")</f>
        <v/>
      </c>
      <c r="Q34" s="15"/>
      <c r="R34" s="15"/>
      <c r="S34" s="15" t="str">
        <f>IF(AND(Q34&lt;&gt;"",R34&lt;&gt;""),R34/Q34,"")</f>
        <v/>
      </c>
      <c r="T34" s="15">
        <f>N34-Q34</f>
        <v>0</v>
      </c>
      <c r="U34" s="15">
        <f>O34-R34</f>
        <v>0</v>
      </c>
      <c r="V34" s="15" t="e">
        <f>IF(AND(T34&lt;&gt;"",U34&lt;&gt;""),U34/T34,"")</f>
        <v>#DIV/0!</v>
      </c>
    </row>
    <row r="35" spans="1:22" ht="15" customHeight="1" x14ac:dyDescent="0.25">
      <c r="A35" s="14" t="s">
        <v>242</v>
      </c>
      <c r="B35" s="15">
        <v>526</v>
      </c>
      <c r="C35" s="15">
        <v>20</v>
      </c>
      <c r="D35" s="15">
        <v>16</v>
      </c>
      <c r="E35" s="15">
        <f>IF(AND(C35&lt;&gt;"",D35&lt;&gt;""),D35/C35,"")</f>
        <v>0.8</v>
      </c>
      <c r="F35" s="15">
        <v>8</v>
      </c>
      <c r="G35" s="15">
        <v>7</v>
      </c>
      <c r="H35" s="15">
        <f>IF(AND(F35&lt;&gt;"",G35&lt;&gt;""),G35/F35,"")</f>
        <v>0.875</v>
      </c>
      <c r="I35" s="15">
        <f>C35-F35</f>
        <v>12</v>
      </c>
      <c r="J35" s="15">
        <f>D35-G35</f>
        <v>9</v>
      </c>
      <c r="K35" s="15">
        <f>IF(AND(I35&lt;&gt;"",J35&lt;&gt;""),J35/I35,"")</f>
        <v>0.75</v>
      </c>
      <c r="L35" s="11"/>
      <c r="M35" s="15"/>
      <c r="N35" s="15"/>
      <c r="O35" s="15"/>
      <c r="P35" s="15" t="str">
        <f>IF(AND(N35&lt;&gt;"",O35&lt;&gt;""),O35/N35,"")</f>
        <v/>
      </c>
      <c r="Q35" s="15"/>
      <c r="R35" s="15"/>
      <c r="S35" s="15" t="str">
        <f>IF(AND(Q35&lt;&gt;"",R35&lt;&gt;""),R35/Q35,"")</f>
        <v/>
      </c>
      <c r="T35" s="15">
        <f>N35-Q35</f>
        <v>0</v>
      </c>
      <c r="U35" s="15">
        <f>O35-R35</f>
        <v>0</v>
      </c>
      <c r="V35" s="15" t="e">
        <f>IF(AND(T35&lt;&gt;"",U35&lt;&gt;""),U35/T35,"")</f>
        <v>#DIV/0!</v>
      </c>
    </row>
    <row r="36" spans="1:22" ht="22" customHeight="1" x14ac:dyDescent="0.25">
      <c r="A36" s="13" t="s">
        <v>243</v>
      </c>
      <c r="B36" s="11"/>
      <c r="C36" s="11"/>
      <c r="D36" s="11"/>
      <c r="E36" s="11"/>
      <c r="F36" s="11"/>
      <c r="G36" s="11"/>
      <c r="H36" s="11"/>
      <c r="I36" s="11"/>
      <c r="J36" s="11"/>
      <c r="K36" s="11"/>
      <c r="L36" s="11"/>
      <c r="M36" s="11"/>
      <c r="N36" s="11"/>
      <c r="O36" s="11"/>
      <c r="P36" s="11"/>
      <c r="Q36" s="11"/>
      <c r="R36" s="11"/>
      <c r="S36" s="11"/>
      <c r="T36" s="11"/>
      <c r="U36" s="11"/>
      <c r="V36" s="11"/>
    </row>
    <row r="37" spans="1:22" ht="15" customHeight="1" x14ac:dyDescent="0.25">
      <c r="A37" s="14" t="s">
        <v>244</v>
      </c>
      <c r="B37" s="15">
        <v>526</v>
      </c>
      <c r="C37" s="15">
        <v>4</v>
      </c>
      <c r="D37" s="15">
        <v>4</v>
      </c>
      <c r="E37" s="15">
        <f>IF(AND(C37&lt;&gt;"",D37&lt;&gt;""),D37/C37,"")</f>
        <v>1</v>
      </c>
      <c r="F37" s="15">
        <v>1</v>
      </c>
      <c r="G37" s="15">
        <v>1</v>
      </c>
      <c r="H37" s="15">
        <f>IF(AND(F37&lt;&gt;"",G37&lt;&gt;""),G37/F37,"")</f>
        <v>1</v>
      </c>
      <c r="I37" s="15">
        <f t="shared" ref="I37:J39" si="22">C37-F37</f>
        <v>3</v>
      </c>
      <c r="J37" s="15">
        <f t="shared" si="22"/>
        <v>3</v>
      </c>
      <c r="K37" s="15">
        <f>IF(AND(I37&lt;&gt;"",J37&lt;&gt;""),J37/I37,"")</f>
        <v>1</v>
      </c>
      <c r="L37" s="11"/>
      <c r="M37" s="15"/>
      <c r="N37" s="15"/>
      <c r="O37" s="15"/>
      <c r="P37" s="15" t="str">
        <f>IF(AND(N37&lt;&gt;"",O37&lt;&gt;""),O37/N37,"")</f>
        <v/>
      </c>
      <c r="Q37" s="15"/>
      <c r="R37" s="15"/>
      <c r="S37" s="15" t="str">
        <f>IF(AND(Q37&lt;&gt;"",R37&lt;&gt;""),R37/Q37,"")</f>
        <v/>
      </c>
      <c r="T37" s="15">
        <f t="shared" ref="T37:U39" si="23">N37-Q37</f>
        <v>0</v>
      </c>
      <c r="U37" s="15">
        <f t="shared" si="23"/>
        <v>0</v>
      </c>
      <c r="V37" s="15" t="e">
        <f>IF(AND(T37&lt;&gt;"",U37&lt;&gt;""),U37/T37,"")</f>
        <v>#DIV/0!</v>
      </c>
    </row>
    <row r="38" spans="1:22" ht="15" customHeight="1" x14ac:dyDescent="0.25">
      <c r="A38" s="14" t="s">
        <v>245</v>
      </c>
      <c r="B38" s="15">
        <v>527</v>
      </c>
      <c r="C38" s="15">
        <v>17</v>
      </c>
      <c r="D38" s="15">
        <v>10</v>
      </c>
      <c r="E38" s="15">
        <f>IF(AND(C38&lt;&gt;"",D38&lt;&gt;""),D38/C38,"")</f>
        <v>0.58823529411764708</v>
      </c>
      <c r="F38" s="15">
        <v>4</v>
      </c>
      <c r="G38" s="15">
        <v>2</v>
      </c>
      <c r="H38" s="15">
        <f>IF(AND(F38&lt;&gt;"",G38&lt;&gt;""),G38/F38,"")</f>
        <v>0.5</v>
      </c>
      <c r="I38" s="15">
        <f t="shared" si="22"/>
        <v>13</v>
      </c>
      <c r="J38" s="15">
        <f t="shared" si="22"/>
        <v>8</v>
      </c>
      <c r="K38" s="15">
        <f>IF(AND(I38&lt;&gt;"",J38&lt;&gt;""),J38/I38,"")</f>
        <v>0.61538461538461542</v>
      </c>
      <c r="L38" s="11"/>
      <c r="M38" s="15"/>
      <c r="N38" s="15"/>
      <c r="O38" s="15"/>
      <c r="P38" s="15" t="str">
        <f>IF(AND(N38&lt;&gt;"",O38&lt;&gt;""),O38/N38,"")</f>
        <v/>
      </c>
      <c r="Q38" s="15"/>
      <c r="R38" s="15"/>
      <c r="S38" s="15" t="str">
        <f>IF(AND(Q38&lt;&gt;"",R38&lt;&gt;""),R38/Q38,"")</f>
        <v/>
      </c>
      <c r="T38" s="15">
        <f t="shared" si="23"/>
        <v>0</v>
      </c>
      <c r="U38" s="15">
        <f t="shared" si="23"/>
        <v>0</v>
      </c>
      <c r="V38" s="15" t="e">
        <f>IF(AND(T38&lt;&gt;"",U38&lt;&gt;""),U38/T38,"")</f>
        <v>#DIV/0!</v>
      </c>
    </row>
    <row r="39" spans="1:22" ht="15" customHeight="1" x14ac:dyDescent="0.25">
      <c r="A39" s="14" t="s">
        <v>246</v>
      </c>
      <c r="B39" s="15">
        <v>528</v>
      </c>
      <c r="C39" s="15">
        <v>55</v>
      </c>
      <c r="D39" s="15">
        <v>33</v>
      </c>
      <c r="E39" s="15">
        <f>IF(AND(C39&lt;&gt;"",D39&lt;&gt;""),D39/C39,"")</f>
        <v>0.6</v>
      </c>
      <c r="F39" s="15">
        <v>23</v>
      </c>
      <c r="G39" s="15">
        <v>15</v>
      </c>
      <c r="H39" s="15">
        <f>IF(AND(F39&lt;&gt;"",G39&lt;&gt;""),G39/F39,"")</f>
        <v>0.65217391304347827</v>
      </c>
      <c r="I39" s="15">
        <f t="shared" si="22"/>
        <v>32</v>
      </c>
      <c r="J39" s="15">
        <f t="shared" si="22"/>
        <v>18</v>
      </c>
      <c r="K39" s="15">
        <f>IF(AND(I39&lt;&gt;"",J39&lt;&gt;""),J39/I39,"")</f>
        <v>0.5625</v>
      </c>
      <c r="L39" s="11"/>
      <c r="M39" s="15"/>
      <c r="N39" s="15"/>
      <c r="O39" s="15"/>
      <c r="P39" s="15" t="str">
        <f>IF(AND(N39&lt;&gt;"",O39&lt;&gt;""),O39/N39,"")</f>
        <v/>
      </c>
      <c r="Q39" s="15"/>
      <c r="R39" s="15"/>
      <c r="S39" s="15" t="str">
        <f>IF(AND(Q39&lt;&gt;"",R39&lt;&gt;""),R39/Q39,"")</f>
        <v/>
      </c>
      <c r="T39" s="15">
        <f t="shared" si="23"/>
        <v>0</v>
      </c>
      <c r="U39" s="15">
        <f t="shared" si="23"/>
        <v>0</v>
      </c>
      <c r="V39" s="15" t="e">
        <f>IF(AND(T39&lt;&gt;"",U39&lt;&gt;""),U39/T39,"")</f>
        <v>#DIV/0!</v>
      </c>
    </row>
    <row r="40" spans="1:22" ht="22" customHeight="1" x14ac:dyDescent="0.25">
      <c r="A40" s="16" t="s">
        <v>47</v>
      </c>
      <c r="B40" s="17"/>
      <c r="C40" s="18">
        <f>SUM(C5:C39)</f>
        <v>592</v>
      </c>
      <c r="D40" s="18">
        <f>SUM(D5:D39)</f>
        <v>437</v>
      </c>
      <c r="E40" s="18">
        <f>IF(AND(C40&lt;&gt;"",D40&lt;&gt;""),D40/C40,"")</f>
        <v>0.73817567567567566</v>
      </c>
      <c r="F40" s="18">
        <f>SUM(F5:F39)</f>
        <v>187</v>
      </c>
      <c r="G40" s="18">
        <f>SUM(G5:G39)</f>
        <v>147</v>
      </c>
      <c r="H40" s="18">
        <f>IF(AND(F40&lt;&gt;"",G40&lt;&gt;""),G40/F40,"")</f>
        <v>0.78609625668449201</v>
      </c>
      <c r="I40" s="18">
        <f>SUM(I5:I39)</f>
        <v>405</v>
      </c>
      <c r="J40" s="18">
        <f>SUM(J5:J39)</f>
        <v>290</v>
      </c>
      <c r="K40" s="18">
        <f>IF(AND(I40&lt;&gt;"",J40&lt;&gt;""),J40/I40,"")</f>
        <v>0.71604938271604934</v>
      </c>
      <c r="L40" s="17"/>
      <c r="M40" s="17"/>
      <c r="N40" s="18">
        <f>SUM(N5:N39)</f>
        <v>0</v>
      </c>
      <c r="O40" s="18">
        <f>SUM(O5:O39)</f>
        <v>0</v>
      </c>
      <c r="P40" s="18" t="e">
        <f>IF(AND(N40&lt;&gt;"",O40&lt;&gt;""),O40/N40,"")</f>
        <v>#DIV/0!</v>
      </c>
      <c r="Q40" s="18">
        <f>SUM(Q5:Q39)</f>
        <v>0</v>
      </c>
      <c r="R40" s="18">
        <f>SUM(R5:R39)</f>
        <v>0</v>
      </c>
      <c r="S40" s="18" t="e">
        <f>IF(AND(Q40&lt;&gt;"",R40&lt;&gt;""),R40/Q40,"")</f>
        <v>#DIV/0!</v>
      </c>
      <c r="T40" s="18">
        <f>SUM(T5:T39)</f>
        <v>0</v>
      </c>
      <c r="U40" s="18">
        <f>SUM(U5:U39)</f>
        <v>0</v>
      </c>
      <c r="V40" s="18" t="e">
        <f>IF(AND(T40&lt;&gt;"",U40&lt;&gt;""),U40/T40,"")</f>
        <v>#DIV/0!</v>
      </c>
    </row>
    <row r="41" spans="1:22" ht="22" customHeight="1" x14ac:dyDescent="0.25"/>
    <row r="42" spans="1:22" ht="22" customHeight="1" x14ac:dyDescent="0.25">
      <c r="A42" s="19" t="s">
        <v>48</v>
      </c>
      <c r="B42" s="20"/>
      <c r="C42" s="21">
        <f>C40+N40</f>
        <v>592</v>
      </c>
      <c r="D42" s="21">
        <f>D40+O40</f>
        <v>437</v>
      </c>
      <c r="E42" s="21">
        <f>IF(AND(C42&lt;&gt;"",D42&lt;&gt;""),D42/C42,"")</f>
        <v>0.73817567567567566</v>
      </c>
      <c r="F42" s="21">
        <f>F40+Q40</f>
        <v>187</v>
      </c>
      <c r="G42" s="21">
        <f>G40+R40</f>
        <v>147</v>
      </c>
      <c r="H42" s="21">
        <f>IF(AND(F42&lt;&gt;"",G42&lt;&gt;""),G42/F42,"")</f>
        <v>0.78609625668449201</v>
      </c>
      <c r="I42" s="21">
        <f>I40+T40</f>
        <v>405</v>
      </c>
      <c r="J42" s="21">
        <f>J40+U40</f>
        <v>290</v>
      </c>
      <c r="K42" s="21">
        <f>IF(AND(I42&lt;&gt;"",J42&lt;&gt;""),J42/I42,"")</f>
        <v>0.71604938271604934</v>
      </c>
      <c r="L42" s="20"/>
      <c r="M42" s="20"/>
      <c r="N42" s="20"/>
      <c r="O42" s="20"/>
      <c r="P42" s="21" t="str">
        <f>IF(AND(N42&lt;&gt;"",O42&lt;&gt;""),O42/N42,"")</f>
        <v/>
      </c>
      <c r="Q42" s="20"/>
      <c r="R42" s="20"/>
      <c r="S42" s="21" t="str">
        <f>IF(AND(Q42&lt;&gt;"",R42&lt;&gt;""),R42/Q42,"")</f>
        <v/>
      </c>
      <c r="T42" s="20"/>
      <c r="U42" s="20"/>
      <c r="V42" s="21" t="str">
        <f>IF(AND(T42&lt;&gt;"",U42&lt;&gt;""),U42/T42,"")</f>
        <v/>
      </c>
    </row>
  </sheetData>
  <mergeCells count="3">
    <mergeCell ref="A1:V1"/>
    <mergeCell ref="M3:V3"/>
    <mergeCell ref="A3:K3"/>
  </mergeCells>
  <phoneticPr fontId="1" type="noConversion"/>
  <conditionalFormatting sqref="E6:E8">
    <cfRule type="cellIs" dxfId="407" priority="1" operator="greaterThanOrEqual">
      <formula>0.9</formula>
    </cfRule>
    <cfRule type="cellIs" dxfId="406" priority="2" operator="between">
      <formula>0.8</formula>
      <formula>0.9</formula>
    </cfRule>
    <cfRule type="cellIs" dxfId="405" priority="3" operator="lessThan">
      <formula>0.8</formula>
    </cfRule>
  </conditionalFormatting>
  <conditionalFormatting sqref="E10:E12">
    <cfRule type="cellIs" dxfId="404" priority="19" operator="greaterThanOrEqual">
      <formula>0.9</formula>
    </cfRule>
    <cfRule type="cellIs" dxfId="403" priority="20" operator="between">
      <formula>0.8</formula>
      <formula>0.9</formula>
    </cfRule>
    <cfRule type="cellIs" dxfId="402" priority="21" operator="lessThan">
      <formula>0.8</formula>
    </cfRule>
  </conditionalFormatting>
  <conditionalFormatting sqref="E14:E19">
    <cfRule type="cellIs" dxfId="401" priority="37" operator="greaterThanOrEqual">
      <formula>0.9</formula>
    </cfRule>
    <cfRule type="cellIs" dxfId="400" priority="38" operator="between">
      <formula>0.8</formula>
      <formula>0.9</formula>
    </cfRule>
    <cfRule type="cellIs" dxfId="399" priority="39" operator="lessThan">
      <formula>0.8</formula>
    </cfRule>
  </conditionalFormatting>
  <conditionalFormatting sqref="E21:E24">
    <cfRule type="cellIs" dxfId="398" priority="55" operator="greaterThanOrEqual">
      <formula>0.9</formula>
    </cfRule>
    <cfRule type="cellIs" dxfId="397" priority="56" operator="between">
      <formula>0.8</formula>
      <formula>0.9</formula>
    </cfRule>
    <cfRule type="cellIs" dxfId="396" priority="57" operator="lessThan">
      <formula>0.8</formula>
    </cfRule>
  </conditionalFormatting>
  <conditionalFormatting sqref="E26:E32">
    <cfRule type="cellIs" dxfId="395" priority="73" operator="greaterThanOrEqual">
      <formula>0.9</formula>
    </cfRule>
    <cfRule type="cellIs" dxfId="394" priority="74" operator="between">
      <formula>0.8</formula>
      <formula>0.9</formula>
    </cfRule>
    <cfRule type="cellIs" dxfId="393" priority="75" operator="lessThan">
      <formula>0.8</formula>
    </cfRule>
  </conditionalFormatting>
  <conditionalFormatting sqref="E34:E35">
    <cfRule type="cellIs" dxfId="392" priority="91" operator="greaterThanOrEqual">
      <formula>0.9</formula>
    </cfRule>
    <cfRule type="cellIs" dxfId="391" priority="93" operator="lessThan">
      <formula>0.8</formula>
    </cfRule>
    <cfRule type="cellIs" dxfId="390" priority="92" operator="between">
      <formula>0.8</formula>
      <formula>0.9</formula>
    </cfRule>
  </conditionalFormatting>
  <conditionalFormatting sqref="E37:E40">
    <cfRule type="cellIs" dxfId="389" priority="111" operator="lessThan">
      <formula>0.8</formula>
    </cfRule>
    <cfRule type="cellIs" dxfId="388" priority="110" operator="between">
      <formula>0.8</formula>
      <formula>0.9</formula>
    </cfRule>
    <cfRule type="cellIs" dxfId="387" priority="109" operator="greaterThanOrEqual">
      <formula>0.9</formula>
    </cfRule>
  </conditionalFormatting>
  <conditionalFormatting sqref="E42">
    <cfRule type="cellIs" dxfId="386" priority="147" operator="lessThan">
      <formula>0.8</formula>
    </cfRule>
    <cfRule type="cellIs" dxfId="385" priority="145" operator="greaterThanOrEqual">
      <formula>0.9</formula>
    </cfRule>
    <cfRule type="cellIs" dxfId="384" priority="146" operator="between">
      <formula>0.8</formula>
      <formula>0.9</formula>
    </cfRule>
  </conditionalFormatting>
  <conditionalFormatting sqref="H6:H8">
    <cfRule type="cellIs" dxfId="383" priority="4" operator="greaterThanOrEqual">
      <formula>0.9</formula>
    </cfRule>
    <cfRule type="cellIs" dxfId="382" priority="5" operator="between">
      <formula>0.8</formula>
      <formula>0.9</formula>
    </cfRule>
    <cfRule type="cellIs" dxfId="381" priority="6" operator="lessThan">
      <formula>0.8</formula>
    </cfRule>
  </conditionalFormatting>
  <conditionalFormatting sqref="H10:H12">
    <cfRule type="cellIs" dxfId="380" priority="22" operator="greaterThanOrEqual">
      <formula>0.9</formula>
    </cfRule>
    <cfRule type="cellIs" dxfId="379" priority="23" operator="between">
      <formula>0.8</formula>
      <formula>0.9</formula>
    </cfRule>
    <cfRule type="cellIs" dxfId="378" priority="24" operator="lessThan">
      <formula>0.8</formula>
    </cfRule>
  </conditionalFormatting>
  <conditionalFormatting sqref="H14:H19">
    <cfRule type="cellIs" dxfId="377" priority="40" operator="greaterThanOrEqual">
      <formula>0.9</formula>
    </cfRule>
    <cfRule type="cellIs" dxfId="376" priority="41" operator="between">
      <formula>0.8</formula>
      <formula>0.9</formula>
    </cfRule>
    <cfRule type="cellIs" dxfId="375" priority="42" operator="lessThan">
      <formula>0.8</formula>
    </cfRule>
  </conditionalFormatting>
  <conditionalFormatting sqref="H21:H24">
    <cfRule type="cellIs" dxfId="374" priority="58" operator="greaterThanOrEqual">
      <formula>0.9</formula>
    </cfRule>
    <cfRule type="cellIs" dxfId="373" priority="59" operator="between">
      <formula>0.8</formula>
      <formula>0.9</formula>
    </cfRule>
    <cfRule type="cellIs" dxfId="372" priority="60" operator="lessThan">
      <formula>0.8</formula>
    </cfRule>
  </conditionalFormatting>
  <conditionalFormatting sqref="H26:H32">
    <cfRule type="cellIs" dxfId="371" priority="76" operator="greaterThanOrEqual">
      <formula>0.9</formula>
    </cfRule>
    <cfRule type="cellIs" dxfId="370" priority="77" operator="between">
      <formula>0.8</formula>
      <formula>0.9</formula>
    </cfRule>
    <cfRule type="cellIs" dxfId="369" priority="78" operator="lessThan">
      <formula>0.8</formula>
    </cfRule>
  </conditionalFormatting>
  <conditionalFormatting sqref="H34:H35">
    <cfRule type="cellIs" dxfId="368" priority="96" operator="lessThan">
      <formula>0.8</formula>
    </cfRule>
    <cfRule type="cellIs" dxfId="367" priority="95" operator="between">
      <formula>0.8</formula>
      <formula>0.9</formula>
    </cfRule>
    <cfRule type="cellIs" dxfId="366" priority="94" operator="greaterThanOrEqual">
      <formula>0.9</formula>
    </cfRule>
  </conditionalFormatting>
  <conditionalFormatting sqref="H37:H40">
    <cfRule type="cellIs" dxfId="365" priority="114" operator="lessThan">
      <formula>0.8</formula>
    </cfRule>
    <cfRule type="cellIs" dxfId="364" priority="112" operator="greaterThanOrEqual">
      <formula>0.9</formula>
    </cfRule>
    <cfRule type="cellIs" dxfId="363" priority="113" operator="between">
      <formula>0.8</formula>
      <formula>0.9</formula>
    </cfRule>
  </conditionalFormatting>
  <conditionalFormatting sqref="H42">
    <cfRule type="cellIs" dxfId="362" priority="148" operator="greaterThanOrEqual">
      <formula>0.9</formula>
    </cfRule>
    <cfRule type="cellIs" dxfId="361" priority="149" operator="between">
      <formula>0.8</formula>
      <formula>0.9</formula>
    </cfRule>
    <cfRule type="cellIs" dxfId="360" priority="150" operator="lessThan">
      <formula>0.8</formula>
    </cfRule>
  </conditionalFormatting>
  <conditionalFormatting sqref="K6:K8">
    <cfRule type="cellIs" dxfId="359" priority="7" operator="greaterThanOrEqual">
      <formula>0.9</formula>
    </cfRule>
    <cfRule type="cellIs" dxfId="358" priority="8" operator="between">
      <formula>0.8</formula>
      <formula>0.9</formula>
    </cfRule>
    <cfRule type="cellIs" dxfId="357" priority="9" operator="lessThan">
      <formula>0.8</formula>
    </cfRule>
  </conditionalFormatting>
  <conditionalFormatting sqref="K10:K12">
    <cfRule type="cellIs" dxfId="356" priority="25" operator="greaterThanOrEqual">
      <formula>0.9</formula>
    </cfRule>
    <cfRule type="cellIs" dxfId="355" priority="26" operator="between">
      <formula>0.8</formula>
      <formula>0.9</formula>
    </cfRule>
    <cfRule type="cellIs" dxfId="354" priority="27" operator="lessThan">
      <formula>0.8</formula>
    </cfRule>
  </conditionalFormatting>
  <conditionalFormatting sqref="K14:K19">
    <cfRule type="cellIs" dxfId="353" priority="43" operator="greaterThanOrEqual">
      <formula>0.9</formula>
    </cfRule>
    <cfRule type="cellIs" dxfId="352" priority="44" operator="between">
      <formula>0.8</formula>
      <formula>0.9</formula>
    </cfRule>
    <cfRule type="cellIs" dxfId="351" priority="45" operator="lessThan">
      <formula>0.8</formula>
    </cfRule>
  </conditionalFormatting>
  <conditionalFormatting sqref="K21:K24">
    <cfRule type="cellIs" dxfId="350" priority="63" operator="lessThan">
      <formula>0.8</formula>
    </cfRule>
    <cfRule type="cellIs" dxfId="349" priority="61" operator="greaterThanOrEqual">
      <formula>0.9</formula>
    </cfRule>
    <cfRule type="cellIs" dxfId="348" priority="62" operator="between">
      <formula>0.8</formula>
      <formula>0.9</formula>
    </cfRule>
  </conditionalFormatting>
  <conditionalFormatting sqref="K26:K32">
    <cfRule type="cellIs" dxfId="347" priority="79" operator="greaterThanOrEqual">
      <formula>0.9</formula>
    </cfRule>
    <cfRule type="cellIs" dxfId="346" priority="80" operator="between">
      <formula>0.8</formula>
      <formula>0.9</formula>
    </cfRule>
    <cfRule type="cellIs" dxfId="345" priority="81" operator="lessThan">
      <formula>0.8</formula>
    </cfRule>
  </conditionalFormatting>
  <conditionalFormatting sqref="K34:K35">
    <cfRule type="cellIs" dxfId="344" priority="98" operator="between">
      <formula>0.8</formula>
      <formula>0.9</formula>
    </cfRule>
    <cfRule type="cellIs" dxfId="343" priority="97" operator="greaterThanOrEqual">
      <formula>0.9</formula>
    </cfRule>
    <cfRule type="cellIs" dxfId="342" priority="99" operator="lessThan">
      <formula>0.8</formula>
    </cfRule>
  </conditionalFormatting>
  <conditionalFormatting sqref="K37:K40">
    <cfRule type="cellIs" dxfId="341" priority="117" operator="lessThan">
      <formula>0.8</formula>
    </cfRule>
    <cfRule type="cellIs" dxfId="340" priority="116" operator="between">
      <formula>0.8</formula>
      <formula>0.9</formula>
    </cfRule>
    <cfRule type="cellIs" dxfId="339" priority="115" operator="greaterThanOrEqual">
      <formula>0.9</formula>
    </cfRule>
  </conditionalFormatting>
  <conditionalFormatting sqref="K42">
    <cfRule type="cellIs" dxfId="338" priority="153" operator="lessThan">
      <formula>0.8</formula>
    </cfRule>
    <cfRule type="cellIs" dxfId="337" priority="152" operator="between">
      <formula>0.8</formula>
      <formula>0.9</formula>
    </cfRule>
    <cfRule type="cellIs" dxfId="336" priority="151" operator="greaterThanOrEqual">
      <formula>0.9</formula>
    </cfRule>
  </conditionalFormatting>
  <conditionalFormatting sqref="P6:P8">
    <cfRule type="cellIs" dxfId="335" priority="10" operator="greaterThanOrEqual">
      <formula>0.9</formula>
    </cfRule>
    <cfRule type="cellIs" dxfId="334" priority="11" operator="between">
      <formula>0.8</formula>
      <formula>0.9</formula>
    </cfRule>
    <cfRule type="cellIs" dxfId="333" priority="12" operator="lessThan">
      <formula>0.8</formula>
    </cfRule>
  </conditionalFormatting>
  <conditionalFormatting sqref="P10:P12">
    <cfRule type="cellIs" dxfId="332" priority="29" operator="between">
      <formula>0.8</formula>
      <formula>0.9</formula>
    </cfRule>
    <cfRule type="cellIs" dxfId="331" priority="30" operator="lessThan">
      <formula>0.8</formula>
    </cfRule>
    <cfRule type="cellIs" dxfId="330" priority="28" operator="greaterThanOrEqual">
      <formula>0.9</formula>
    </cfRule>
  </conditionalFormatting>
  <conditionalFormatting sqref="P14:P19">
    <cfRule type="cellIs" dxfId="329" priority="48" operator="lessThan">
      <formula>0.8</formula>
    </cfRule>
    <cfRule type="cellIs" dxfId="328" priority="46" operator="greaterThanOrEqual">
      <formula>0.9</formula>
    </cfRule>
    <cfRule type="cellIs" dxfId="327" priority="47" operator="between">
      <formula>0.8</formula>
      <formula>0.9</formula>
    </cfRule>
  </conditionalFormatting>
  <conditionalFormatting sqref="P21:P24">
    <cfRule type="cellIs" dxfId="326" priority="64" operator="greaterThanOrEqual">
      <formula>0.9</formula>
    </cfRule>
    <cfRule type="cellIs" dxfId="325" priority="65" operator="between">
      <formula>0.8</formula>
      <formula>0.9</formula>
    </cfRule>
    <cfRule type="cellIs" dxfId="324" priority="66" operator="lessThan">
      <formula>0.8</formula>
    </cfRule>
  </conditionalFormatting>
  <conditionalFormatting sqref="P26:P32">
    <cfRule type="cellIs" dxfId="323" priority="83" operator="between">
      <formula>0.8</formula>
      <formula>0.9</formula>
    </cfRule>
    <cfRule type="cellIs" dxfId="322" priority="84" operator="lessThan">
      <formula>0.8</formula>
    </cfRule>
    <cfRule type="cellIs" dxfId="321" priority="82" operator="greaterThanOrEqual">
      <formula>0.9</formula>
    </cfRule>
  </conditionalFormatting>
  <conditionalFormatting sqref="P34:P35">
    <cfRule type="cellIs" dxfId="320" priority="102" operator="lessThan">
      <formula>0.8</formula>
    </cfRule>
    <cfRule type="cellIs" dxfId="319" priority="101" operator="between">
      <formula>0.8</formula>
      <formula>0.9</formula>
    </cfRule>
    <cfRule type="cellIs" dxfId="318" priority="100" operator="greaterThanOrEqual">
      <formula>0.9</formula>
    </cfRule>
  </conditionalFormatting>
  <conditionalFormatting sqref="P37:P40">
    <cfRule type="cellIs" dxfId="317" priority="119" operator="between">
      <formula>0.8</formula>
      <formula>0.9</formula>
    </cfRule>
    <cfRule type="cellIs" dxfId="316" priority="120" operator="lessThan">
      <formula>0.8</formula>
    </cfRule>
    <cfRule type="cellIs" dxfId="315" priority="118" operator="greaterThanOrEqual">
      <formula>0.9</formula>
    </cfRule>
  </conditionalFormatting>
  <conditionalFormatting sqref="P42">
    <cfRule type="cellIs" dxfId="314" priority="155" operator="between">
      <formula>0.8</formula>
      <formula>0.9</formula>
    </cfRule>
    <cfRule type="cellIs" dxfId="313" priority="154" operator="greaterThanOrEqual">
      <formula>0.9</formula>
    </cfRule>
    <cfRule type="cellIs" dxfId="312" priority="156" operator="lessThan">
      <formula>0.8</formula>
    </cfRule>
  </conditionalFormatting>
  <conditionalFormatting sqref="S6:S8">
    <cfRule type="cellIs" dxfId="311" priority="13" operator="greaterThanOrEqual">
      <formula>0.9</formula>
    </cfRule>
    <cfRule type="cellIs" dxfId="310" priority="14" operator="between">
      <formula>0.8</formula>
      <formula>0.9</formula>
    </cfRule>
    <cfRule type="cellIs" dxfId="309" priority="15" operator="lessThan">
      <formula>0.8</formula>
    </cfRule>
  </conditionalFormatting>
  <conditionalFormatting sqref="S10:S12">
    <cfRule type="cellIs" dxfId="308" priority="31" operator="greaterThanOrEqual">
      <formula>0.9</formula>
    </cfRule>
    <cfRule type="cellIs" dxfId="307" priority="32" operator="between">
      <formula>0.8</formula>
      <formula>0.9</formula>
    </cfRule>
    <cfRule type="cellIs" dxfId="306" priority="33" operator="lessThan">
      <formula>0.8</formula>
    </cfRule>
  </conditionalFormatting>
  <conditionalFormatting sqref="S14:S19">
    <cfRule type="cellIs" dxfId="305" priority="50" operator="between">
      <formula>0.8</formula>
      <formula>0.9</formula>
    </cfRule>
    <cfRule type="cellIs" dxfId="304" priority="51" operator="lessThan">
      <formula>0.8</formula>
    </cfRule>
    <cfRule type="cellIs" dxfId="303" priority="49" operator="greaterThanOrEqual">
      <formula>0.9</formula>
    </cfRule>
  </conditionalFormatting>
  <conditionalFormatting sqref="S21:S24">
    <cfRule type="cellIs" dxfId="302" priority="68" operator="between">
      <formula>0.8</formula>
      <formula>0.9</formula>
    </cfRule>
    <cfRule type="cellIs" dxfId="301" priority="69" operator="lessThan">
      <formula>0.8</formula>
    </cfRule>
    <cfRule type="cellIs" dxfId="300" priority="67" operator="greaterThanOrEqual">
      <formula>0.9</formula>
    </cfRule>
  </conditionalFormatting>
  <conditionalFormatting sqref="S26:S32">
    <cfRule type="cellIs" dxfId="299" priority="85" operator="greaterThanOrEqual">
      <formula>0.9</formula>
    </cfRule>
    <cfRule type="cellIs" dxfId="298" priority="87" operator="lessThan">
      <formula>0.8</formula>
    </cfRule>
    <cfRule type="cellIs" dxfId="297" priority="86" operator="between">
      <formula>0.8</formula>
      <formula>0.9</formula>
    </cfRule>
  </conditionalFormatting>
  <conditionalFormatting sqref="S34:S35">
    <cfRule type="cellIs" dxfId="296" priority="105" operator="lessThan">
      <formula>0.8</formula>
    </cfRule>
    <cfRule type="cellIs" dxfId="295" priority="104" operator="between">
      <formula>0.8</formula>
      <formula>0.9</formula>
    </cfRule>
    <cfRule type="cellIs" dxfId="294" priority="103" operator="greaterThanOrEqual">
      <formula>0.9</formula>
    </cfRule>
  </conditionalFormatting>
  <conditionalFormatting sqref="S37:S40">
    <cfRule type="cellIs" dxfId="293" priority="121" operator="greaterThanOrEqual">
      <formula>0.9</formula>
    </cfRule>
    <cfRule type="cellIs" dxfId="292" priority="122" operator="between">
      <formula>0.8</formula>
      <formula>0.9</formula>
    </cfRule>
    <cfRule type="cellIs" dxfId="291" priority="123" operator="lessThan">
      <formula>0.8</formula>
    </cfRule>
  </conditionalFormatting>
  <conditionalFormatting sqref="S42">
    <cfRule type="cellIs" dxfId="290" priority="157" operator="greaterThanOrEqual">
      <formula>0.9</formula>
    </cfRule>
    <cfRule type="cellIs" dxfId="289" priority="158" operator="between">
      <formula>0.8</formula>
      <formula>0.9</formula>
    </cfRule>
    <cfRule type="cellIs" dxfId="288" priority="159" operator="lessThan">
      <formula>0.8</formula>
    </cfRule>
  </conditionalFormatting>
  <conditionalFormatting sqref="V6:V8">
    <cfRule type="cellIs" dxfId="287" priority="16" operator="greaterThanOrEqual">
      <formula>0.9</formula>
    </cfRule>
    <cfRule type="cellIs" dxfId="286" priority="18" operator="lessThan">
      <formula>0.8</formula>
    </cfRule>
    <cfRule type="cellIs" dxfId="285" priority="17" operator="between">
      <formula>0.8</formula>
      <formula>0.9</formula>
    </cfRule>
  </conditionalFormatting>
  <conditionalFormatting sqref="V10:V12">
    <cfRule type="cellIs" dxfId="284" priority="35" operator="between">
      <formula>0.8</formula>
      <formula>0.9</formula>
    </cfRule>
    <cfRule type="cellIs" dxfId="283" priority="34" operator="greaterThanOrEqual">
      <formula>0.9</formula>
    </cfRule>
    <cfRule type="cellIs" dxfId="282" priority="36" operator="lessThan">
      <formula>0.8</formula>
    </cfRule>
  </conditionalFormatting>
  <conditionalFormatting sqref="V14:V19">
    <cfRule type="cellIs" dxfId="281" priority="54" operator="lessThan">
      <formula>0.8</formula>
    </cfRule>
    <cfRule type="cellIs" dxfId="280" priority="53" operator="between">
      <formula>0.8</formula>
      <formula>0.9</formula>
    </cfRule>
    <cfRule type="cellIs" dxfId="279" priority="52" operator="greaterThanOrEqual">
      <formula>0.9</formula>
    </cfRule>
  </conditionalFormatting>
  <conditionalFormatting sqref="V21:V24">
    <cfRule type="cellIs" dxfId="278" priority="70" operator="greaterThanOrEqual">
      <formula>0.9</formula>
    </cfRule>
    <cfRule type="cellIs" dxfId="277" priority="71" operator="between">
      <formula>0.8</formula>
      <formula>0.9</formula>
    </cfRule>
    <cfRule type="cellIs" dxfId="276" priority="72" operator="lessThan">
      <formula>0.8</formula>
    </cfRule>
  </conditionalFormatting>
  <conditionalFormatting sqref="V26:V32">
    <cfRule type="cellIs" dxfId="275" priority="90" operator="lessThan">
      <formula>0.8</formula>
    </cfRule>
    <cfRule type="cellIs" dxfId="274" priority="89" operator="between">
      <formula>0.8</formula>
      <formula>0.9</formula>
    </cfRule>
    <cfRule type="cellIs" dxfId="273" priority="88" operator="greaterThanOrEqual">
      <formula>0.9</formula>
    </cfRule>
  </conditionalFormatting>
  <conditionalFormatting sqref="V34:V35">
    <cfRule type="cellIs" dxfId="272" priority="108" operator="lessThan">
      <formula>0.8</formula>
    </cfRule>
    <cfRule type="cellIs" dxfId="271" priority="107" operator="between">
      <formula>0.8</formula>
      <formula>0.9</formula>
    </cfRule>
    <cfRule type="cellIs" dxfId="270" priority="106" operator="greaterThanOrEqual">
      <formula>0.9</formula>
    </cfRule>
  </conditionalFormatting>
  <conditionalFormatting sqref="V37:V40">
    <cfRule type="cellIs" dxfId="269" priority="125" operator="between">
      <formula>0.8</formula>
      <formula>0.9</formula>
    </cfRule>
    <cfRule type="cellIs" dxfId="268" priority="126" operator="lessThan">
      <formula>0.8</formula>
    </cfRule>
    <cfRule type="cellIs" dxfId="267" priority="124" operator="greaterThanOrEqual">
      <formula>0.9</formula>
    </cfRule>
  </conditionalFormatting>
  <conditionalFormatting sqref="V42">
    <cfRule type="cellIs" dxfId="266" priority="160" operator="greaterThanOrEqual">
      <formula>0.9</formula>
    </cfRule>
    <cfRule type="cellIs" dxfId="265" priority="161" operator="between">
      <formula>0.8</formula>
      <formula>0.9</formula>
    </cfRule>
    <cfRule type="cellIs" dxfId="264" priority="162" operator="lessThan">
      <formula>0.8</formula>
    </cfRule>
  </conditionalFormatting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tabColor theme="5"/>
  </sheetPr>
  <dimension ref="A1:V30"/>
  <sheetViews>
    <sheetView workbookViewId="0">
      <selection activeCell="B27" sqref="B27"/>
    </sheetView>
  </sheetViews>
  <sheetFormatPr defaultRowHeight="14" x14ac:dyDescent="0.25"/>
  <cols>
    <col min="1" max="1" width="26" customWidth="1"/>
    <col min="2" max="11" width="9" customWidth="1"/>
    <col min="12" max="12" width="3" customWidth="1"/>
    <col min="13" max="22" width="9" customWidth="1"/>
  </cols>
  <sheetData>
    <row r="1" spans="1:22" ht="30" customHeight="1" x14ac:dyDescent="0.25">
      <c r="A1" s="74" t="s">
        <v>247</v>
      </c>
      <c r="B1" s="55"/>
      <c r="C1" s="55"/>
      <c r="D1" s="55"/>
      <c r="E1" s="55"/>
      <c r="F1" s="55"/>
      <c r="G1" s="55"/>
      <c r="H1" s="55"/>
      <c r="I1" s="55"/>
      <c r="J1" s="55"/>
      <c r="K1" s="55"/>
      <c r="L1" s="55"/>
      <c r="M1" s="55"/>
      <c r="N1" s="55"/>
      <c r="O1" s="55"/>
      <c r="P1" s="55"/>
      <c r="Q1" s="55"/>
      <c r="R1" s="55"/>
      <c r="S1" s="55"/>
      <c r="T1" s="55"/>
      <c r="U1" s="55"/>
      <c r="V1" s="55"/>
    </row>
    <row r="2" spans="1:22" ht="6" customHeight="1" x14ac:dyDescent="0.25"/>
    <row r="3" spans="1:22" ht="24" customHeight="1" x14ac:dyDescent="0.25">
      <c r="A3" s="76" t="s">
        <v>160</v>
      </c>
      <c r="B3" s="59"/>
      <c r="C3" s="59"/>
      <c r="D3" s="59"/>
      <c r="E3" s="59"/>
      <c r="F3" s="59"/>
      <c r="G3" s="59"/>
      <c r="H3" s="59"/>
      <c r="I3" s="59"/>
      <c r="J3" s="59"/>
      <c r="K3" s="60"/>
      <c r="L3" s="11"/>
      <c r="M3" s="75" t="s">
        <v>161</v>
      </c>
      <c r="N3" s="59"/>
      <c r="O3" s="59"/>
      <c r="P3" s="59"/>
      <c r="Q3" s="59"/>
      <c r="R3" s="59"/>
      <c r="S3" s="59"/>
      <c r="T3" s="59"/>
      <c r="U3" s="59"/>
      <c r="V3" s="60"/>
    </row>
    <row r="4" spans="1:22" ht="24" customHeight="1" x14ac:dyDescent="0.25">
      <c r="A4" s="12" t="s">
        <v>162</v>
      </c>
      <c r="B4" s="12" t="s">
        <v>7</v>
      </c>
      <c r="C4" s="12" t="s">
        <v>51</v>
      </c>
      <c r="D4" s="12" t="s">
        <v>10</v>
      </c>
      <c r="E4" s="12" t="s">
        <v>11</v>
      </c>
      <c r="F4" s="12" t="s">
        <v>163</v>
      </c>
      <c r="G4" s="12" t="s">
        <v>164</v>
      </c>
      <c r="H4" s="12" t="s">
        <v>165</v>
      </c>
      <c r="I4" s="12" t="s">
        <v>166</v>
      </c>
      <c r="J4" s="12" t="s">
        <v>167</v>
      </c>
      <c r="K4" s="12" t="s">
        <v>168</v>
      </c>
      <c r="M4" s="12" t="s">
        <v>7</v>
      </c>
      <c r="N4" s="12" t="s">
        <v>51</v>
      </c>
      <c r="O4" s="12" t="s">
        <v>10</v>
      </c>
      <c r="P4" s="12" t="s">
        <v>11</v>
      </c>
      <c r="Q4" s="12" t="s">
        <v>163</v>
      </c>
      <c r="R4" s="12" t="s">
        <v>164</v>
      </c>
      <c r="S4" s="12" t="s">
        <v>165</v>
      </c>
      <c r="T4" s="12" t="s">
        <v>166</v>
      </c>
      <c r="U4" s="12" t="s">
        <v>167</v>
      </c>
      <c r="V4" s="12" t="s">
        <v>168</v>
      </c>
    </row>
    <row r="5" spans="1:22" ht="22" customHeight="1" x14ac:dyDescent="0.25">
      <c r="A5" s="13" t="s">
        <v>212</v>
      </c>
      <c r="B5" s="11"/>
      <c r="C5" s="11"/>
      <c r="D5" s="11"/>
      <c r="E5" s="11"/>
      <c r="F5" s="11"/>
      <c r="G5" s="11"/>
      <c r="H5" s="11"/>
      <c r="I5" s="11"/>
      <c r="J5" s="11"/>
      <c r="K5" s="11"/>
      <c r="L5" s="11"/>
      <c r="M5" s="11"/>
      <c r="N5" s="11"/>
      <c r="O5" s="11"/>
      <c r="P5" s="11"/>
      <c r="Q5" s="11"/>
      <c r="R5" s="11"/>
      <c r="S5" s="11"/>
      <c r="T5" s="11"/>
      <c r="U5" s="11"/>
      <c r="V5" s="11"/>
    </row>
    <row r="6" spans="1:22" ht="15" customHeight="1" x14ac:dyDescent="0.25">
      <c r="A6" s="14" t="s">
        <v>248</v>
      </c>
      <c r="B6" s="15">
        <v>530</v>
      </c>
      <c r="C6" s="15">
        <v>11</v>
      </c>
      <c r="D6" s="15">
        <v>10</v>
      </c>
      <c r="E6" s="15">
        <f t="shared" ref="E6:E11" si="0">IF(AND(C6&lt;&gt;"",D6&lt;&gt;""),D6/C6,"")</f>
        <v>0.90909090909090906</v>
      </c>
      <c r="F6" s="15">
        <v>1</v>
      </c>
      <c r="G6" s="15">
        <v>1</v>
      </c>
      <c r="H6" s="15">
        <f t="shared" ref="H6:H11" si="1">IF(AND(F6&lt;&gt;"",G6&lt;&gt;""),G6/F6,"")</f>
        <v>1</v>
      </c>
      <c r="I6" s="15">
        <f t="shared" ref="I6:J11" si="2">C6-F6</f>
        <v>10</v>
      </c>
      <c r="J6" s="15">
        <f t="shared" si="2"/>
        <v>9</v>
      </c>
      <c r="K6" s="15">
        <f t="shared" ref="K6:K11" si="3">IF(AND(I6&lt;&gt;"",J6&lt;&gt;""),J6/I6,"")</f>
        <v>0.9</v>
      </c>
      <c r="L6" s="11"/>
      <c r="M6" s="15"/>
      <c r="N6" s="15"/>
      <c r="O6" s="15"/>
      <c r="P6" s="15" t="str">
        <f t="shared" ref="P6:P11" si="4">IF(AND(N6&lt;&gt;"",O6&lt;&gt;""),O6/N6,"")</f>
        <v/>
      </c>
      <c r="Q6" s="15"/>
      <c r="R6" s="15"/>
      <c r="S6" s="15" t="str">
        <f t="shared" ref="S6:S11" si="5">IF(AND(Q6&lt;&gt;"",R6&lt;&gt;""),R6/Q6,"")</f>
        <v/>
      </c>
      <c r="T6" s="15">
        <f t="shared" ref="T6:U11" si="6">N6-Q6</f>
        <v>0</v>
      </c>
      <c r="U6" s="15">
        <f t="shared" si="6"/>
        <v>0</v>
      </c>
      <c r="V6" s="15" t="e">
        <f t="shared" ref="V6:V11" si="7">IF(AND(T6&lt;&gt;"",U6&lt;&gt;""),U6/T6,"")</f>
        <v>#DIV/0!</v>
      </c>
    </row>
    <row r="7" spans="1:22" ht="15" customHeight="1" x14ac:dyDescent="0.25">
      <c r="A7" s="14" t="s">
        <v>249</v>
      </c>
      <c r="B7" s="15">
        <v>530</v>
      </c>
      <c r="C7" s="15">
        <v>20</v>
      </c>
      <c r="D7" s="15">
        <v>14</v>
      </c>
      <c r="E7" s="15">
        <f t="shared" si="0"/>
        <v>0.7</v>
      </c>
      <c r="F7" s="15">
        <v>4</v>
      </c>
      <c r="G7" s="15">
        <v>3</v>
      </c>
      <c r="H7" s="15">
        <f t="shared" si="1"/>
        <v>0.75</v>
      </c>
      <c r="I7" s="15">
        <f t="shared" si="2"/>
        <v>16</v>
      </c>
      <c r="J7" s="15">
        <f t="shared" si="2"/>
        <v>11</v>
      </c>
      <c r="K7" s="15">
        <f t="shared" si="3"/>
        <v>0.6875</v>
      </c>
      <c r="L7" s="11"/>
      <c r="M7" s="15"/>
      <c r="N7" s="15"/>
      <c r="O7" s="15"/>
      <c r="P7" s="15" t="str">
        <f t="shared" si="4"/>
        <v/>
      </c>
      <c r="Q7" s="15"/>
      <c r="R7" s="15"/>
      <c r="S7" s="15" t="str">
        <f t="shared" si="5"/>
        <v/>
      </c>
      <c r="T7" s="15">
        <f t="shared" si="6"/>
        <v>0</v>
      </c>
      <c r="U7" s="15">
        <f t="shared" si="6"/>
        <v>0</v>
      </c>
      <c r="V7" s="15" t="e">
        <f t="shared" si="7"/>
        <v>#DIV/0!</v>
      </c>
    </row>
    <row r="8" spans="1:22" ht="15" customHeight="1" x14ac:dyDescent="0.25">
      <c r="A8" s="14" t="s">
        <v>250</v>
      </c>
      <c r="B8" s="15">
        <v>530</v>
      </c>
      <c r="C8" s="15">
        <v>33</v>
      </c>
      <c r="D8" s="15">
        <v>25</v>
      </c>
      <c r="E8" s="15">
        <f t="shared" si="0"/>
        <v>0.75757575757575757</v>
      </c>
      <c r="F8" s="15">
        <v>18</v>
      </c>
      <c r="G8" s="15">
        <v>13</v>
      </c>
      <c r="H8" s="15">
        <f t="shared" si="1"/>
        <v>0.72222222222222221</v>
      </c>
      <c r="I8" s="15">
        <f t="shared" si="2"/>
        <v>15</v>
      </c>
      <c r="J8" s="15">
        <f t="shared" si="2"/>
        <v>12</v>
      </c>
      <c r="K8" s="15">
        <f t="shared" si="3"/>
        <v>0.8</v>
      </c>
      <c r="L8" s="11"/>
      <c r="M8" s="15"/>
      <c r="N8" s="15"/>
      <c r="O8" s="15"/>
      <c r="P8" s="15" t="str">
        <f t="shared" si="4"/>
        <v/>
      </c>
      <c r="Q8" s="15"/>
      <c r="R8" s="15"/>
      <c r="S8" s="15" t="str">
        <f t="shared" si="5"/>
        <v/>
      </c>
      <c r="T8" s="15">
        <f t="shared" si="6"/>
        <v>0</v>
      </c>
      <c r="U8" s="15">
        <f t="shared" si="6"/>
        <v>0</v>
      </c>
      <c r="V8" s="15" t="e">
        <f t="shared" si="7"/>
        <v>#DIV/0!</v>
      </c>
    </row>
    <row r="9" spans="1:22" ht="15" customHeight="1" x14ac:dyDescent="0.25">
      <c r="A9" s="14" t="s">
        <v>251</v>
      </c>
      <c r="B9" s="15">
        <v>531</v>
      </c>
      <c r="C9" s="41">
        <v>0</v>
      </c>
      <c r="D9" s="41">
        <v>0</v>
      </c>
      <c r="E9" s="15" t="e">
        <f t="shared" si="0"/>
        <v>#DIV/0!</v>
      </c>
      <c r="F9" s="41">
        <v>0</v>
      </c>
      <c r="G9" s="41">
        <v>0</v>
      </c>
      <c r="H9" s="15" t="e">
        <f t="shared" si="1"/>
        <v>#DIV/0!</v>
      </c>
      <c r="I9" s="15">
        <f t="shared" si="2"/>
        <v>0</v>
      </c>
      <c r="J9" s="15">
        <f t="shared" si="2"/>
        <v>0</v>
      </c>
      <c r="K9" s="15" t="e">
        <f t="shared" si="3"/>
        <v>#DIV/0!</v>
      </c>
      <c r="L9" s="11"/>
      <c r="M9" s="15"/>
      <c r="N9" s="15"/>
      <c r="O9" s="15"/>
      <c r="P9" s="15" t="str">
        <f t="shared" si="4"/>
        <v/>
      </c>
      <c r="Q9" s="15"/>
      <c r="R9" s="15"/>
      <c r="S9" s="15" t="str">
        <f t="shared" si="5"/>
        <v/>
      </c>
      <c r="T9" s="15">
        <f t="shared" si="6"/>
        <v>0</v>
      </c>
      <c r="U9" s="15">
        <f t="shared" si="6"/>
        <v>0</v>
      </c>
      <c r="V9" s="15" t="e">
        <f t="shared" si="7"/>
        <v>#DIV/0!</v>
      </c>
    </row>
    <row r="10" spans="1:22" ht="15" customHeight="1" x14ac:dyDescent="0.25">
      <c r="A10" s="14" t="s">
        <v>252</v>
      </c>
      <c r="B10" s="15">
        <v>531</v>
      </c>
      <c r="C10" s="41">
        <v>0</v>
      </c>
      <c r="D10" s="41">
        <v>0</v>
      </c>
      <c r="E10" s="15" t="e">
        <f t="shared" si="0"/>
        <v>#DIV/0!</v>
      </c>
      <c r="F10" s="41">
        <v>0</v>
      </c>
      <c r="G10" s="15">
        <v>0</v>
      </c>
      <c r="H10" s="15" t="e">
        <f t="shared" si="1"/>
        <v>#DIV/0!</v>
      </c>
      <c r="I10" s="15">
        <f t="shared" si="2"/>
        <v>0</v>
      </c>
      <c r="J10" s="15">
        <f t="shared" si="2"/>
        <v>0</v>
      </c>
      <c r="K10" s="15" t="e">
        <f t="shared" si="3"/>
        <v>#DIV/0!</v>
      </c>
      <c r="L10" s="11"/>
      <c r="M10" s="15"/>
      <c r="N10" s="15"/>
      <c r="O10" s="15"/>
      <c r="P10" s="15" t="str">
        <f t="shared" si="4"/>
        <v/>
      </c>
      <c r="Q10" s="15"/>
      <c r="R10" s="15"/>
      <c r="S10" s="15" t="str">
        <f t="shared" si="5"/>
        <v/>
      </c>
      <c r="T10" s="15">
        <f t="shared" si="6"/>
        <v>0</v>
      </c>
      <c r="U10" s="15">
        <f t="shared" si="6"/>
        <v>0</v>
      </c>
      <c r="V10" s="15" t="e">
        <f t="shared" si="7"/>
        <v>#DIV/0!</v>
      </c>
    </row>
    <row r="11" spans="1:22" ht="15" customHeight="1" x14ac:dyDescent="0.25">
      <c r="A11" s="14" t="s">
        <v>253</v>
      </c>
      <c r="B11" s="15">
        <v>531</v>
      </c>
      <c r="C11" s="15">
        <v>22</v>
      </c>
      <c r="D11" s="15">
        <v>14</v>
      </c>
      <c r="E11" s="15">
        <f t="shared" si="0"/>
        <v>0.63636363636363635</v>
      </c>
      <c r="F11" s="15">
        <v>4</v>
      </c>
      <c r="G11" s="15">
        <v>3</v>
      </c>
      <c r="H11" s="15">
        <f t="shared" si="1"/>
        <v>0.75</v>
      </c>
      <c r="I11" s="15">
        <f t="shared" si="2"/>
        <v>18</v>
      </c>
      <c r="J11" s="15">
        <f t="shared" si="2"/>
        <v>11</v>
      </c>
      <c r="K11" s="15">
        <f t="shared" si="3"/>
        <v>0.61111111111111116</v>
      </c>
      <c r="L11" s="11"/>
      <c r="M11" s="15"/>
      <c r="N11" s="15"/>
      <c r="O11" s="15"/>
      <c r="P11" s="15" t="str">
        <f t="shared" si="4"/>
        <v/>
      </c>
      <c r="Q11" s="15"/>
      <c r="R11" s="15"/>
      <c r="S11" s="15" t="str">
        <f t="shared" si="5"/>
        <v/>
      </c>
      <c r="T11" s="15">
        <f t="shared" si="6"/>
        <v>0</v>
      </c>
      <c r="U11" s="15">
        <f t="shared" si="6"/>
        <v>0</v>
      </c>
      <c r="V11" s="15" t="e">
        <f t="shared" si="7"/>
        <v>#DIV/0!</v>
      </c>
    </row>
    <row r="12" spans="1:22" ht="22" customHeight="1" x14ac:dyDescent="0.25">
      <c r="A12" s="13" t="s">
        <v>254</v>
      </c>
      <c r="B12" s="11"/>
      <c r="C12" s="11"/>
      <c r="D12" s="11"/>
      <c r="E12" s="11"/>
      <c r="F12" s="11"/>
      <c r="G12" s="11"/>
      <c r="H12" s="11"/>
      <c r="I12" s="11"/>
      <c r="J12" s="11"/>
      <c r="K12" s="11"/>
      <c r="L12" s="11"/>
      <c r="M12" s="11"/>
      <c r="N12" s="11"/>
      <c r="O12" s="11"/>
      <c r="P12" s="11"/>
      <c r="Q12" s="11"/>
      <c r="R12" s="11"/>
      <c r="S12" s="11"/>
      <c r="T12" s="11"/>
      <c r="U12" s="11"/>
      <c r="V12" s="11"/>
    </row>
    <row r="13" spans="1:22" ht="15" customHeight="1" x14ac:dyDescent="0.25">
      <c r="A13" s="14" t="s">
        <v>255</v>
      </c>
      <c r="B13" s="15">
        <v>601</v>
      </c>
      <c r="C13" s="15">
        <v>73</v>
      </c>
      <c r="D13" s="15">
        <v>53</v>
      </c>
      <c r="E13" s="15">
        <f>IF(AND(C13&lt;&gt;"",D13&lt;&gt;""),D13/C13,"")</f>
        <v>0.72602739726027399</v>
      </c>
      <c r="F13" s="15">
        <v>16</v>
      </c>
      <c r="G13" s="15">
        <v>9</v>
      </c>
      <c r="H13" s="15">
        <f>IF(AND(F13&lt;&gt;"",G13&lt;&gt;""),G13/F13,"")</f>
        <v>0.5625</v>
      </c>
      <c r="I13" s="15">
        <f t="shared" ref="I13:J16" si="8">C13-F13</f>
        <v>57</v>
      </c>
      <c r="J13" s="15">
        <f t="shared" si="8"/>
        <v>44</v>
      </c>
      <c r="K13" s="15">
        <f>IF(AND(I13&lt;&gt;"",J13&lt;&gt;""),J13/I13,"")</f>
        <v>0.77192982456140347</v>
      </c>
      <c r="L13" s="11"/>
      <c r="M13" s="15"/>
      <c r="N13" s="15"/>
      <c r="O13" s="15"/>
      <c r="P13" s="15" t="str">
        <f>IF(AND(N13&lt;&gt;"",O13&lt;&gt;""),O13/N13,"")</f>
        <v/>
      </c>
      <c r="Q13" s="15"/>
      <c r="R13" s="15"/>
      <c r="S13" s="15" t="str">
        <f>IF(AND(Q13&lt;&gt;"",R13&lt;&gt;""),R13/Q13,"")</f>
        <v/>
      </c>
      <c r="T13" s="15">
        <f t="shared" ref="T13:U16" si="9">N13-Q13</f>
        <v>0</v>
      </c>
      <c r="U13" s="15">
        <f t="shared" si="9"/>
        <v>0</v>
      </c>
      <c r="V13" s="15" t="e">
        <f>IF(AND(T13&lt;&gt;"",U13&lt;&gt;""),U13/T13,"")</f>
        <v>#DIV/0!</v>
      </c>
    </row>
    <row r="14" spans="1:22" ht="15" customHeight="1" x14ac:dyDescent="0.25">
      <c r="A14" s="14" t="s">
        <v>256</v>
      </c>
      <c r="B14" s="15">
        <v>602</v>
      </c>
      <c r="C14" s="15">
        <v>57</v>
      </c>
      <c r="D14" s="15">
        <v>46</v>
      </c>
      <c r="E14" s="15">
        <f>IF(AND(C14&lt;&gt;"",D14&lt;&gt;""),D14/C14,"")</f>
        <v>0.80701754385964908</v>
      </c>
      <c r="F14" s="15">
        <v>21</v>
      </c>
      <c r="G14" s="15">
        <v>16</v>
      </c>
      <c r="H14" s="15">
        <f>IF(AND(F14&lt;&gt;"",G14&lt;&gt;""),G14/F14,"")</f>
        <v>0.76190476190476186</v>
      </c>
      <c r="I14" s="15">
        <f t="shared" si="8"/>
        <v>36</v>
      </c>
      <c r="J14" s="15">
        <f t="shared" si="8"/>
        <v>30</v>
      </c>
      <c r="K14" s="15">
        <f>IF(AND(I14&lt;&gt;"",J14&lt;&gt;""),J14/I14,"")</f>
        <v>0.83333333333333337</v>
      </c>
      <c r="L14" s="11"/>
      <c r="M14" s="15"/>
      <c r="N14" s="15"/>
      <c r="O14" s="15"/>
      <c r="P14" s="15" t="str">
        <f>IF(AND(N14&lt;&gt;"",O14&lt;&gt;""),O14/N14,"")</f>
        <v/>
      </c>
      <c r="Q14" s="15"/>
      <c r="R14" s="15"/>
      <c r="S14" s="15" t="str">
        <f>IF(AND(Q14&lt;&gt;"",R14&lt;&gt;""),R14/Q14,"")</f>
        <v/>
      </c>
      <c r="T14" s="15">
        <f t="shared" si="9"/>
        <v>0</v>
      </c>
      <c r="U14" s="15">
        <f t="shared" si="9"/>
        <v>0</v>
      </c>
      <c r="V14" s="15" t="e">
        <f>IF(AND(T14&lt;&gt;"",U14&lt;&gt;""),U14/T14,"")</f>
        <v>#DIV/0!</v>
      </c>
    </row>
    <row r="15" spans="1:22" ht="15" customHeight="1" x14ac:dyDescent="0.25">
      <c r="A15" s="14" t="s">
        <v>257</v>
      </c>
      <c r="B15" s="15">
        <v>606</v>
      </c>
      <c r="C15" s="15">
        <v>56</v>
      </c>
      <c r="D15" s="15">
        <v>46</v>
      </c>
      <c r="E15" s="15">
        <f>IF(AND(C15&lt;&gt;"",D15&lt;&gt;""),D15/C15,"")</f>
        <v>0.8214285714285714</v>
      </c>
      <c r="F15" s="15">
        <v>10</v>
      </c>
      <c r="G15" s="15">
        <v>9</v>
      </c>
      <c r="H15" s="15">
        <f>IF(AND(F15&lt;&gt;"",G15&lt;&gt;""),G15/F15,"")</f>
        <v>0.9</v>
      </c>
      <c r="I15" s="15">
        <f t="shared" si="8"/>
        <v>46</v>
      </c>
      <c r="J15" s="15">
        <f t="shared" si="8"/>
        <v>37</v>
      </c>
      <c r="K15" s="15">
        <f>IF(AND(I15&lt;&gt;"",J15&lt;&gt;""),J15/I15,"")</f>
        <v>0.80434782608695654</v>
      </c>
      <c r="L15" s="11"/>
      <c r="M15" s="15"/>
      <c r="N15" s="15"/>
      <c r="O15" s="15"/>
      <c r="P15" s="15" t="str">
        <f>IF(AND(N15&lt;&gt;"",O15&lt;&gt;""),O15/N15,"")</f>
        <v/>
      </c>
      <c r="Q15" s="15"/>
      <c r="R15" s="15"/>
      <c r="S15" s="15" t="str">
        <f>IF(AND(Q15&lt;&gt;"",R15&lt;&gt;""),R15/Q15,"")</f>
        <v/>
      </c>
      <c r="T15" s="15">
        <f t="shared" si="9"/>
        <v>0</v>
      </c>
      <c r="U15" s="15">
        <f t="shared" si="9"/>
        <v>0</v>
      </c>
      <c r="V15" s="15" t="e">
        <f>IF(AND(T15&lt;&gt;"",U15&lt;&gt;""),U15/T15,"")</f>
        <v>#DIV/0!</v>
      </c>
    </row>
    <row r="16" spans="1:22" ht="15" customHeight="1" x14ac:dyDescent="0.25">
      <c r="A16" s="14" t="s">
        <v>258</v>
      </c>
      <c r="B16" s="15">
        <v>607</v>
      </c>
      <c r="C16" s="15">
        <v>45</v>
      </c>
      <c r="D16" s="15">
        <v>38</v>
      </c>
      <c r="E16" s="15">
        <f>IF(AND(C16&lt;&gt;"",D16&lt;&gt;""),D16/C16,"")</f>
        <v>0.84444444444444444</v>
      </c>
      <c r="F16" s="15">
        <v>12</v>
      </c>
      <c r="G16" s="15">
        <v>11</v>
      </c>
      <c r="H16" s="15">
        <f>IF(AND(F16&lt;&gt;"",G16&lt;&gt;""),G16/F16,"")</f>
        <v>0.91666666666666663</v>
      </c>
      <c r="I16" s="15">
        <f t="shared" si="8"/>
        <v>33</v>
      </c>
      <c r="J16" s="15">
        <f t="shared" si="8"/>
        <v>27</v>
      </c>
      <c r="K16" s="15">
        <f>IF(AND(I16&lt;&gt;"",J16&lt;&gt;""),J16/I16,"")</f>
        <v>0.81818181818181823</v>
      </c>
      <c r="L16" s="11"/>
      <c r="M16" s="15"/>
      <c r="N16" s="15"/>
      <c r="O16" s="15"/>
      <c r="P16" s="15" t="str">
        <f>IF(AND(N16&lt;&gt;"",O16&lt;&gt;""),O16/N16,"")</f>
        <v/>
      </c>
      <c r="Q16" s="15"/>
      <c r="R16" s="15"/>
      <c r="S16" s="15" t="str">
        <f>IF(AND(Q16&lt;&gt;"",R16&lt;&gt;""),R16/Q16,"")</f>
        <v/>
      </c>
      <c r="T16" s="15">
        <f t="shared" si="9"/>
        <v>0</v>
      </c>
      <c r="U16" s="15">
        <f t="shared" si="9"/>
        <v>0</v>
      </c>
      <c r="V16" s="15" t="e">
        <f>IF(AND(T16&lt;&gt;"",U16&lt;&gt;""),U16/T16,"")</f>
        <v>#DIV/0!</v>
      </c>
    </row>
    <row r="17" spans="1:22" ht="22" customHeight="1" x14ac:dyDescent="0.25">
      <c r="A17" s="13" t="s">
        <v>259</v>
      </c>
      <c r="B17" s="11"/>
      <c r="C17" s="11"/>
      <c r="D17" s="11"/>
      <c r="E17" s="11"/>
      <c r="F17" s="11"/>
      <c r="G17" s="11"/>
      <c r="H17" s="11"/>
      <c r="I17" s="11"/>
      <c r="J17" s="11"/>
      <c r="K17" s="11"/>
      <c r="L17" s="11"/>
      <c r="M17" s="11"/>
      <c r="N17" s="11"/>
      <c r="O17" s="11"/>
      <c r="P17" s="11"/>
      <c r="Q17" s="11"/>
      <c r="R17" s="11"/>
      <c r="S17" s="11"/>
      <c r="T17" s="11"/>
      <c r="U17" s="11"/>
      <c r="V17" s="11"/>
    </row>
    <row r="18" spans="1:22" ht="15" customHeight="1" x14ac:dyDescent="0.25">
      <c r="A18" s="14" t="s">
        <v>260</v>
      </c>
      <c r="B18" s="15">
        <v>609</v>
      </c>
      <c r="C18" s="15">
        <v>72</v>
      </c>
      <c r="D18" s="15">
        <v>51</v>
      </c>
      <c r="E18" s="15">
        <f>IF(AND(C18&lt;&gt;"",D18&lt;&gt;""),D18/C18,"")</f>
        <v>0.70833333333333337</v>
      </c>
      <c r="F18" s="15">
        <v>14</v>
      </c>
      <c r="G18" s="15">
        <v>10</v>
      </c>
      <c r="H18" s="15">
        <f>IF(AND(F18&lt;&gt;"",G18&lt;&gt;""),G18/F18,"")</f>
        <v>0.7142857142857143</v>
      </c>
      <c r="I18" s="15">
        <f>C18-F18</f>
        <v>58</v>
      </c>
      <c r="J18" s="15">
        <f>D18-G18</f>
        <v>41</v>
      </c>
      <c r="K18" s="15">
        <f>IF(AND(I18&lt;&gt;"",J18&lt;&gt;""),J18/I18,"")</f>
        <v>0.7068965517241379</v>
      </c>
      <c r="L18" s="11"/>
      <c r="M18" s="15"/>
      <c r="N18" s="15"/>
      <c r="O18" s="15"/>
      <c r="P18" s="15" t="str">
        <f>IF(AND(N18&lt;&gt;"",O18&lt;&gt;""),O18/N18,"")</f>
        <v/>
      </c>
      <c r="Q18" s="15"/>
      <c r="R18" s="15"/>
      <c r="S18" s="15" t="str">
        <f>IF(AND(Q18&lt;&gt;"",R18&lt;&gt;""),R18/Q18,"")</f>
        <v/>
      </c>
      <c r="T18" s="15">
        <f>N18-Q18</f>
        <v>0</v>
      </c>
      <c r="U18" s="15">
        <f>O18-R18</f>
        <v>0</v>
      </c>
      <c r="V18" s="15" t="e">
        <f>IF(AND(T18&lt;&gt;"",U18&lt;&gt;""),U18/T18,"")</f>
        <v>#DIV/0!</v>
      </c>
    </row>
    <row r="19" spans="1:22" ht="15" customHeight="1" x14ac:dyDescent="0.25">
      <c r="A19" s="14" t="s">
        <v>261</v>
      </c>
      <c r="B19" s="15">
        <v>610</v>
      </c>
      <c r="C19" s="15">
        <v>61</v>
      </c>
      <c r="D19" s="15">
        <v>46</v>
      </c>
      <c r="E19" s="15">
        <f>IF(AND(C19&lt;&gt;"",D19&lt;&gt;""),D19/C19,"")</f>
        <v>0.75409836065573765</v>
      </c>
      <c r="F19" s="15">
        <v>19</v>
      </c>
      <c r="G19" s="15">
        <v>14</v>
      </c>
      <c r="H19" s="15">
        <f>IF(AND(F19&lt;&gt;"",G19&lt;&gt;""),G19/F19,"")</f>
        <v>0.73684210526315785</v>
      </c>
      <c r="I19" s="15">
        <f>C19-F19</f>
        <v>42</v>
      </c>
      <c r="J19" s="15">
        <f>D19-G19</f>
        <v>32</v>
      </c>
      <c r="K19" s="15">
        <f>IF(AND(I19&lt;&gt;"",J19&lt;&gt;""),J19/I19,"")</f>
        <v>0.76190476190476186</v>
      </c>
      <c r="L19" s="11"/>
      <c r="M19" s="15"/>
      <c r="N19" s="15"/>
      <c r="O19" s="15"/>
      <c r="P19" s="15" t="str">
        <f>IF(AND(N19&lt;&gt;"",O19&lt;&gt;""),O19/N19,"")</f>
        <v/>
      </c>
      <c r="Q19" s="15"/>
      <c r="R19" s="15"/>
      <c r="S19" s="15" t="str">
        <f>IF(AND(Q19&lt;&gt;"",R19&lt;&gt;""),R19/Q19,"")</f>
        <v/>
      </c>
      <c r="T19" s="15">
        <f>N19-Q19</f>
        <v>0</v>
      </c>
      <c r="U19" s="15">
        <f>O19-R19</f>
        <v>0</v>
      </c>
      <c r="V19" s="15" t="e">
        <f>IF(AND(T19&lt;&gt;"",U19&lt;&gt;""),U19/T19,"")</f>
        <v>#DIV/0!</v>
      </c>
    </row>
    <row r="20" spans="1:22" ht="22" customHeight="1" x14ac:dyDescent="0.25">
      <c r="A20" s="13" t="s">
        <v>262</v>
      </c>
      <c r="B20" s="11"/>
      <c r="C20" s="11"/>
      <c r="D20" s="11"/>
      <c r="E20" s="11"/>
      <c r="F20" s="11"/>
      <c r="G20" s="11"/>
      <c r="H20" s="11"/>
      <c r="I20" s="11"/>
      <c r="J20" s="11"/>
      <c r="K20" s="11"/>
      <c r="L20" s="11"/>
      <c r="M20" s="11"/>
      <c r="N20" s="11"/>
      <c r="O20" s="11"/>
      <c r="P20" s="11"/>
      <c r="Q20" s="11"/>
      <c r="R20" s="11"/>
      <c r="S20" s="11"/>
      <c r="T20" s="11"/>
      <c r="U20" s="11"/>
      <c r="V20" s="11"/>
    </row>
    <row r="21" spans="1:22" ht="15" customHeight="1" x14ac:dyDescent="0.25">
      <c r="A21" s="14" t="s">
        <v>263</v>
      </c>
      <c r="B21" s="15">
        <v>611</v>
      </c>
      <c r="C21" s="15">
        <v>5</v>
      </c>
      <c r="D21" s="15">
        <v>5</v>
      </c>
      <c r="E21" s="15">
        <f>IF(AND(C21&lt;&gt;"",D21&lt;&gt;""),D21/C21,"")</f>
        <v>1</v>
      </c>
      <c r="F21" s="15">
        <v>0</v>
      </c>
      <c r="G21" s="15">
        <v>0</v>
      </c>
      <c r="H21" s="15" t="e">
        <f>IF(AND(F21&lt;&gt;"",G21&lt;&gt;""),G21/F21,"")</f>
        <v>#DIV/0!</v>
      </c>
      <c r="I21" s="15">
        <f t="shared" ref="I21:J23" si="10">C21-F21</f>
        <v>5</v>
      </c>
      <c r="J21" s="15">
        <f t="shared" si="10"/>
        <v>5</v>
      </c>
      <c r="K21" s="15">
        <f>IF(AND(I21&lt;&gt;"",J21&lt;&gt;""),J21/I21,"")</f>
        <v>1</v>
      </c>
      <c r="L21" s="11"/>
      <c r="M21" s="15"/>
      <c r="N21" s="15"/>
      <c r="O21" s="15"/>
      <c r="P21" s="15" t="str">
        <f>IF(AND(N21&lt;&gt;"",O21&lt;&gt;""),O21/N21,"")</f>
        <v/>
      </c>
      <c r="Q21" s="15"/>
      <c r="R21" s="15"/>
      <c r="S21" s="15" t="str">
        <f>IF(AND(Q21&lt;&gt;"",R21&lt;&gt;""),R21/Q21,"")</f>
        <v/>
      </c>
      <c r="T21" s="15">
        <f t="shared" ref="T21:U23" si="11">N21-Q21</f>
        <v>0</v>
      </c>
      <c r="U21" s="15">
        <f t="shared" si="11"/>
        <v>0</v>
      </c>
      <c r="V21" s="15" t="e">
        <f>IF(AND(T21&lt;&gt;"",U21&lt;&gt;""),U21/T21,"")</f>
        <v>#DIV/0!</v>
      </c>
    </row>
    <row r="22" spans="1:22" ht="15" customHeight="1" x14ac:dyDescent="0.25">
      <c r="A22" s="14" t="s">
        <v>264</v>
      </c>
      <c r="B22" s="15">
        <v>614</v>
      </c>
      <c r="C22" s="15">
        <v>70</v>
      </c>
      <c r="D22" s="15">
        <v>42</v>
      </c>
      <c r="E22" s="15">
        <f>IF(AND(C22&lt;&gt;"",D22&lt;&gt;""),D22/C22,"")</f>
        <v>0.6</v>
      </c>
      <c r="F22" s="15">
        <v>22</v>
      </c>
      <c r="G22" s="15">
        <v>13</v>
      </c>
      <c r="H22" s="15">
        <f>IF(AND(F22&lt;&gt;"",G22&lt;&gt;""),G22/F22,"")</f>
        <v>0.59090909090909094</v>
      </c>
      <c r="I22" s="15">
        <f t="shared" si="10"/>
        <v>48</v>
      </c>
      <c r="J22" s="15">
        <f t="shared" si="10"/>
        <v>29</v>
      </c>
      <c r="K22" s="15">
        <f>IF(AND(I22&lt;&gt;"",J22&lt;&gt;""),J22/I22,"")</f>
        <v>0.60416666666666663</v>
      </c>
      <c r="L22" s="11"/>
      <c r="M22" s="15"/>
      <c r="N22" s="15"/>
      <c r="O22" s="15"/>
      <c r="P22" s="15" t="str">
        <f>IF(AND(N22&lt;&gt;"",O22&lt;&gt;""),O22/N22,"")</f>
        <v/>
      </c>
      <c r="Q22" s="15"/>
      <c r="R22" s="15"/>
      <c r="S22" s="15" t="str">
        <f>IF(AND(Q22&lt;&gt;"",R22&lt;&gt;""),R22/Q22,"")</f>
        <v/>
      </c>
      <c r="T22" s="15">
        <f t="shared" si="11"/>
        <v>0</v>
      </c>
      <c r="U22" s="15">
        <f t="shared" si="11"/>
        <v>0</v>
      </c>
      <c r="V22" s="15" t="e">
        <f>IF(AND(T22&lt;&gt;"",U22&lt;&gt;""),U22/T22,"")</f>
        <v>#DIV/0!</v>
      </c>
    </row>
    <row r="23" spans="1:22" ht="15" customHeight="1" x14ac:dyDescent="0.25">
      <c r="A23" s="14" t="s">
        <v>265</v>
      </c>
      <c r="B23" s="15">
        <v>614</v>
      </c>
      <c r="C23" s="15">
        <v>18</v>
      </c>
      <c r="D23" s="15">
        <v>15</v>
      </c>
      <c r="E23" s="15">
        <f>IF(AND(C23&lt;&gt;"",D23&lt;&gt;""),D23/C23,"")</f>
        <v>0.83333333333333337</v>
      </c>
      <c r="F23" s="15">
        <v>6</v>
      </c>
      <c r="G23" s="15">
        <v>6</v>
      </c>
      <c r="H23" s="15">
        <f>IF(AND(F23&lt;&gt;"",G23&lt;&gt;""),G23/F23,"")</f>
        <v>1</v>
      </c>
      <c r="I23" s="15">
        <f t="shared" si="10"/>
        <v>12</v>
      </c>
      <c r="J23" s="15">
        <f t="shared" si="10"/>
        <v>9</v>
      </c>
      <c r="K23" s="15">
        <f>IF(AND(I23&lt;&gt;"",J23&lt;&gt;""),J23/I23,"")</f>
        <v>0.75</v>
      </c>
      <c r="L23" s="11"/>
      <c r="M23" s="15"/>
      <c r="N23" s="15"/>
      <c r="O23" s="15"/>
      <c r="P23" s="15" t="str">
        <f>IF(AND(N23&lt;&gt;"",O23&lt;&gt;""),O23/N23,"")</f>
        <v/>
      </c>
      <c r="Q23" s="15"/>
      <c r="R23" s="15"/>
      <c r="S23" s="15" t="str">
        <f>IF(AND(Q23&lt;&gt;"",R23&lt;&gt;""),R23/Q23,"")</f>
        <v/>
      </c>
      <c r="T23" s="15">
        <f t="shared" si="11"/>
        <v>0</v>
      </c>
      <c r="U23" s="15">
        <f t="shared" si="11"/>
        <v>0</v>
      </c>
      <c r="V23" s="15" t="e">
        <f>IF(AND(T23&lt;&gt;"",U23&lt;&gt;""),U23/T23,"")</f>
        <v>#DIV/0!</v>
      </c>
    </row>
    <row r="24" spans="1:22" ht="22" customHeight="1" x14ac:dyDescent="0.25">
      <c r="A24" s="13" t="s">
        <v>266</v>
      </c>
      <c r="B24" s="11"/>
      <c r="C24" s="11"/>
      <c r="D24" s="11"/>
      <c r="E24" s="11"/>
      <c r="F24" s="11"/>
      <c r="G24" s="11"/>
      <c r="H24" s="11"/>
      <c r="I24" s="11"/>
      <c r="J24" s="11"/>
      <c r="K24" s="11"/>
      <c r="L24" s="11"/>
      <c r="M24" s="11"/>
      <c r="N24" s="11"/>
      <c r="O24" s="11"/>
      <c r="P24" s="11"/>
      <c r="Q24" s="11"/>
      <c r="R24" s="11"/>
      <c r="S24" s="11"/>
      <c r="T24" s="11"/>
      <c r="U24" s="11"/>
      <c r="V24" s="11"/>
    </row>
    <row r="25" spans="1:22" ht="15" customHeight="1" x14ac:dyDescent="0.25">
      <c r="A25" s="14" t="s">
        <v>267</v>
      </c>
      <c r="B25" s="15">
        <v>614</v>
      </c>
      <c r="C25" s="15">
        <v>26</v>
      </c>
      <c r="D25" s="15">
        <v>17</v>
      </c>
      <c r="E25" s="15">
        <f>IF(AND(C25&lt;&gt;"",D25&lt;&gt;""),D25/C25,"")</f>
        <v>0.65384615384615385</v>
      </c>
      <c r="F25" s="15">
        <v>4</v>
      </c>
      <c r="G25" s="15">
        <v>4</v>
      </c>
      <c r="H25" s="15">
        <f>IF(AND(F25&lt;&gt;"",G25&lt;&gt;""),G25/F25,"")</f>
        <v>1</v>
      </c>
      <c r="I25" s="15">
        <f t="shared" ref="I25:J27" si="12">C25-F25</f>
        <v>22</v>
      </c>
      <c r="J25" s="15">
        <f t="shared" si="12"/>
        <v>13</v>
      </c>
      <c r="K25" s="15">
        <f>IF(AND(I25&lt;&gt;"",J25&lt;&gt;""),J25/I25,"")</f>
        <v>0.59090909090909094</v>
      </c>
      <c r="L25" s="11"/>
      <c r="M25" s="15"/>
      <c r="N25" s="15"/>
      <c r="O25" s="15"/>
      <c r="P25" s="15" t="str">
        <f>IF(AND(N25&lt;&gt;"",O25&lt;&gt;""),O25/N25,"")</f>
        <v/>
      </c>
      <c r="Q25" s="15"/>
      <c r="R25" s="15"/>
      <c r="S25" s="15" t="str">
        <f>IF(AND(Q25&lt;&gt;"",R25&lt;&gt;""),R25/Q25,"")</f>
        <v/>
      </c>
      <c r="T25" s="15">
        <f t="shared" ref="T25:U27" si="13">N25-Q25</f>
        <v>0</v>
      </c>
      <c r="U25" s="15">
        <f t="shared" si="13"/>
        <v>0</v>
      </c>
      <c r="V25" s="15" t="e">
        <f>IF(AND(T25&lt;&gt;"",U25&lt;&gt;""),U25/T25,"")</f>
        <v>#DIV/0!</v>
      </c>
    </row>
    <row r="26" spans="1:22" ht="15" customHeight="1" x14ac:dyDescent="0.25">
      <c r="A26" s="14" t="s">
        <v>268</v>
      </c>
      <c r="B26" s="15">
        <v>615</v>
      </c>
      <c r="C26" s="15">
        <v>46</v>
      </c>
      <c r="D26" s="15">
        <v>33</v>
      </c>
      <c r="E26" s="15">
        <f>IF(AND(C26&lt;&gt;"",D26&lt;&gt;""),D26/C26,"")</f>
        <v>0.71739130434782605</v>
      </c>
      <c r="F26" s="15">
        <v>11</v>
      </c>
      <c r="G26" s="15">
        <v>7</v>
      </c>
      <c r="H26" s="15">
        <f>IF(AND(F26&lt;&gt;"",G26&lt;&gt;""),G26/F26,"")</f>
        <v>0.63636363636363635</v>
      </c>
      <c r="I26" s="15">
        <f t="shared" si="12"/>
        <v>35</v>
      </c>
      <c r="J26" s="15">
        <f t="shared" si="12"/>
        <v>26</v>
      </c>
      <c r="K26" s="15">
        <f>IF(AND(I26&lt;&gt;"",J26&lt;&gt;""),J26/I26,"")</f>
        <v>0.74285714285714288</v>
      </c>
      <c r="L26" s="11"/>
      <c r="M26" s="15"/>
      <c r="N26" s="15"/>
      <c r="O26" s="15"/>
      <c r="P26" s="15" t="str">
        <f>IF(AND(N26&lt;&gt;"",O26&lt;&gt;""),O26/N26,"")</f>
        <v/>
      </c>
      <c r="Q26" s="15"/>
      <c r="R26" s="15"/>
      <c r="S26" s="15" t="str">
        <f>IF(AND(Q26&lt;&gt;"",R26&lt;&gt;""),R26/Q26,"")</f>
        <v/>
      </c>
      <c r="T26" s="15">
        <f t="shared" si="13"/>
        <v>0</v>
      </c>
      <c r="U26" s="15">
        <f t="shared" si="13"/>
        <v>0</v>
      </c>
      <c r="V26" s="15" t="e">
        <f>IF(AND(T26&lt;&gt;"",U26&lt;&gt;""),U26/T26,"")</f>
        <v>#DIV/0!</v>
      </c>
    </row>
    <row r="27" spans="1:22" ht="15" customHeight="1" x14ac:dyDescent="0.25">
      <c r="A27" s="14" t="s">
        <v>269</v>
      </c>
      <c r="B27" s="15">
        <v>615</v>
      </c>
      <c r="C27" s="15">
        <v>35</v>
      </c>
      <c r="D27" s="15">
        <v>29</v>
      </c>
      <c r="E27" s="15">
        <f>IF(AND(C27&lt;&gt;"",D27&lt;&gt;""),D27/C27,"")</f>
        <v>0.82857142857142863</v>
      </c>
      <c r="F27" s="15">
        <v>9</v>
      </c>
      <c r="G27" s="15">
        <v>8</v>
      </c>
      <c r="H27" s="15">
        <f>IF(AND(F27&lt;&gt;"",G27&lt;&gt;""),G27/F27,"")</f>
        <v>0.88888888888888884</v>
      </c>
      <c r="I27" s="15">
        <f t="shared" si="12"/>
        <v>26</v>
      </c>
      <c r="J27" s="15">
        <f t="shared" si="12"/>
        <v>21</v>
      </c>
      <c r="K27" s="15">
        <f>IF(AND(I27&lt;&gt;"",J27&lt;&gt;""),J27/I27,"")</f>
        <v>0.80769230769230771</v>
      </c>
      <c r="L27" s="11"/>
      <c r="M27" s="15"/>
      <c r="N27" s="15"/>
      <c r="O27" s="15"/>
      <c r="P27" s="15" t="str">
        <f>IF(AND(N27&lt;&gt;"",O27&lt;&gt;""),O27/N27,"")</f>
        <v/>
      </c>
      <c r="Q27" s="15"/>
      <c r="R27" s="15"/>
      <c r="S27" s="15" t="str">
        <f>IF(AND(Q27&lt;&gt;"",R27&lt;&gt;""),R27/Q27,"")</f>
        <v/>
      </c>
      <c r="T27" s="15">
        <f t="shared" si="13"/>
        <v>0</v>
      </c>
      <c r="U27" s="15">
        <f t="shared" si="13"/>
        <v>0</v>
      </c>
      <c r="V27" s="15" t="e">
        <f>IF(AND(T27&lt;&gt;"",U27&lt;&gt;""),U27/T27,"")</f>
        <v>#DIV/0!</v>
      </c>
    </row>
    <row r="28" spans="1:22" ht="22" customHeight="1" x14ac:dyDescent="0.25">
      <c r="A28" s="16" t="s">
        <v>47</v>
      </c>
      <c r="B28" s="17"/>
      <c r="C28" s="18">
        <f>SUM(C5:C27)</f>
        <v>650</v>
      </c>
      <c r="D28" s="18">
        <f>SUM(D5:D27)</f>
        <v>484</v>
      </c>
      <c r="E28" s="18">
        <f>IF(AND(C28&lt;&gt;"",D28&lt;&gt;""),D28/C28,"")</f>
        <v>0.74461538461538457</v>
      </c>
      <c r="F28" s="18">
        <f>SUM(F5:F27)</f>
        <v>171</v>
      </c>
      <c r="G28" s="18">
        <f>SUM(G5:G27)</f>
        <v>127</v>
      </c>
      <c r="H28" s="18">
        <f>IF(AND(F28&lt;&gt;"",G28&lt;&gt;""),G28/F28,"")</f>
        <v>0.74269005847953218</v>
      </c>
      <c r="I28" s="18">
        <f>SUM(I5:I27)</f>
        <v>479</v>
      </c>
      <c r="J28" s="18">
        <f>SUM(J5:J27)</f>
        <v>357</v>
      </c>
      <c r="K28" s="18">
        <f>IF(AND(I28&lt;&gt;"",J28&lt;&gt;""),J28/I28,"")</f>
        <v>0.74530271398747394</v>
      </c>
      <c r="L28" s="17"/>
      <c r="M28" s="17"/>
      <c r="N28" s="18">
        <f>SUM(N5:N27)</f>
        <v>0</v>
      </c>
      <c r="O28" s="18">
        <f>SUM(O5:O27)</f>
        <v>0</v>
      </c>
      <c r="P28" s="18" t="e">
        <f>IF(AND(N28&lt;&gt;"",O28&lt;&gt;""),O28/N28,"")</f>
        <v>#DIV/0!</v>
      </c>
      <c r="Q28" s="18">
        <f>SUM(Q5:Q27)</f>
        <v>0</v>
      </c>
      <c r="R28" s="18">
        <f>SUM(R5:R27)</f>
        <v>0</v>
      </c>
      <c r="S28" s="18" t="e">
        <f>IF(AND(Q28&lt;&gt;"",R28&lt;&gt;""),R28/Q28,"")</f>
        <v>#DIV/0!</v>
      </c>
      <c r="T28" s="18">
        <f>SUM(T5:T27)</f>
        <v>0</v>
      </c>
      <c r="U28" s="18">
        <f>SUM(U5:U27)</f>
        <v>0</v>
      </c>
      <c r="V28" s="18" t="e">
        <f>IF(AND(T28&lt;&gt;"",U28&lt;&gt;""),U28/T28,"")</f>
        <v>#DIV/0!</v>
      </c>
    </row>
    <row r="29" spans="1:22" ht="22" customHeight="1" x14ac:dyDescent="0.25"/>
    <row r="30" spans="1:22" ht="22" customHeight="1" x14ac:dyDescent="0.25">
      <c r="A30" s="19" t="s">
        <v>48</v>
      </c>
      <c r="B30" s="20"/>
      <c r="C30" s="21">
        <f>C28+N28</f>
        <v>650</v>
      </c>
      <c r="D30" s="21">
        <f>D28+O28</f>
        <v>484</v>
      </c>
      <c r="E30" s="21">
        <f>IF(AND(C30&lt;&gt;"",D30&lt;&gt;""),D30/C30,"")</f>
        <v>0.74461538461538457</v>
      </c>
      <c r="F30" s="21">
        <f>F28+Q28</f>
        <v>171</v>
      </c>
      <c r="G30" s="21">
        <f>G28+R28</f>
        <v>127</v>
      </c>
      <c r="H30" s="21">
        <f>IF(AND(F30&lt;&gt;"",G30&lt;&gt;""),G30/F30,"")</f>
        <v>0.74269005847953218</v>
      </c>
      <c r="I30" s="21">
        <f>I28+T28</f>
        <v>479</v>
      </c>
      <c r="J30" s="21">
        <f>J28+U28</f>
        <v>357</v>
      </c>
      <c r="K30" s="21">
        <f>IF(AND(I30&lt;&gt;"",J30&lt;&gt;""),J30/I30,"")</f>
        <v>0.74530271398747394</v>
      </c>
      <c r="L30" s="20"/>
      <c r="M30" s="20"/>
      <c r="N30" s="20"/>
      <c r="O30" s="20"/>
      <c r="P30" s="21" t="str">
        <f>IF(AND(N30&lt;&gt;"",O30&lt;&gt;""),O30/N30,"")</f>
        <v/>
      </c>
      <c r="Q30" s="20"/>
      <c r="R30" s="20"/>
      <c r="S30" s="21" t="str">
        <f>IF(AND(Q30&lt;&gt;"",R30&lt;&gt;""),R30/Q30,"")</f>
        <v/>
      </c>
      <c r="T30" s="20"/>
      <c r="U30" s="20"/>
      <c r="V30" s="21" t="str">
        <f>IF(AND(T30&lt;&gt;"",U30&lt;&gt;""),U30/T30,"")</f>
        <v/>
      </c>
    </row>
  </sheetData>
  <mergeCells count="3">
    <mergeCell ref="A1:V1"/>
    <mergeCell ref="M3:V3"/>
    <mergeCell ref="A3:K3"/>
  </mergeCells>
  <phoneticPr fontId="1" type="noConversion"/>
  <conditionalFormatting sqref="E6:E11">
    <cfRule type="cellIs" dxfId="263" priority="1" operator="greaterThanOrEqual">
      <formula>0.9</formula>
    </cfRule>
    <cfRule type="cellIs" dxfId="262" priority="2" operator="between">
      <formula>0.8</formula>
      <formula>0.9</formula>
    </cfRule>
    <cfRule type="cellIs" dxfId="261" priority="3" operator="lessThan">
      <formula>0.8</formula>
    </cfRule>
  </conditionalFormatting>
  <conditionalFormatting sqref="E13:E16">
    <cfRule type="cellIs" dxfId="260" priority="19" operator="greaterThanOrEqual">
      <formula>0.9</formula>
    </cfRule>
    <cfRule type="cellIs" dxfId="259" priority="20" operator="between">
      <formula>0.8</formula>
      <formula>0.9</formula>
    </cfRule>
    <cfRule type="cellIs" dxfId="258" priority="21" operator="lessThan">
      <formula>0.8</formula>
    </cfRule>
  </conditionalFormatting>
  <conditionalFormatting sqref="E18:E19">
    <cfRule type="cellIs" dxfId="257" priority="39" operator="lessThan">
      <formula>0.8</formula>
    </cfRule>
    <cfRule type="cellIs" dxfId="256" priority="38" operator="between">
      <formula>0.8</formula>
      <formula>0.9</formula>
    </cfRule>
    <cfRule type="cellIs" dxfId="255" priority="37" operator="greaterThanOrEqual">
      <formula>0.9</formula>
    </cfRule>
  </conditionalFormatting>
  <conditionalFormatting sqref="E21:E23">
    <cfRule type="cellIs" dxfId="254" priority="57" operator="lessThan">
      <formula>0.8</formula>
    </cfRule>
    <cfRule type="cellIs" dxfId="253" priority="55" operator="greaterThanOrEqual">
      <formula>0.9</formula>
    </cfRule>
    <cfRule type="cellIs" dxfId="252" priority="56" operator="between">
      <formula>0.8</formula>
      <formula>0.9</formula>
    </cfRule>
  </conditionalFormatting>
  <conditionalFormatting sqref="E25:E28">
    <cfRule type="cellIs" dxfId="251" priority="73" operator="greaterThanOrEqual">
      <formula>0.9</formula>
    </cfRule>
    <cfRule type="cellIs" dxfId="250" priority="75" operator="lessThan">
      <formula>0.8</formula>
    </cfRule>
    <cfRule type="cellIs" dxfId="249" priority="74" operator="between">
      <formula>0.8</formula>
      <formula>0.9</formula>
    </cfRule>
  </conditionalFormatting>
  <conditionalFormatting sqref="E30">
    <cfRule type="cellIs" dxfId="248" priority="109" operator="greaterThanOrEqual">
      <formula>0.9</formula>
    </cfRule>
    <cfRule type="cellIs" dxfId="247" priority="110" operator="between">
      <formula>0.8</formula>
      <formula>0.9</formula>
    </cfRule>
    <cfRule type="cellIs" dxfId="246" priority="111" operator="lessThan">
      <formula>0.8</formula>
    </cfRule>
  </conditionalFormatting>
  <conditionalFormatting sqref="H6:H11">
    <cfRule type="cellIs" dxfId="245" priority="5" operator="between">
      <formula>0.8</formula>
      <formula>0.9</formula>
    </cfRule>
    <cfRule type="cellIs" dxfId="244" priority="6" operator="lessThan">
      <formula>0.8</formula>
    </cfRule>
    <cfRule type="cellIs" dxfId="243" priority="4" operator="greaterThanOrEqual">
      <formula>0.9</formula>
    </cfRule>
  </conditionalFormatting>
  <conditionalFormatting sqref="H13:H16">
    <cfRule type="cellIs" dxfId="242" priority="24" operator="lessThan">
      <formula>0.8</formula>
    </cfRule>
    <cfRule type="cellIs" dxfId="241" priority="22" operator="greaterThanOrEqual">
      <formula>0.9</formula>
    </cfRule>
    <cfRule type="cellIs" dxfId="240" priority="23" operator="between">
      <formula>0.8</formula>
      <formula>0.9</formula>
    </cfRule>
  </conditionalFormatting>
  <conditionalFormatting sqref="H18:H19">
    <cfRule type="cellIs" dxfId="239" priority="42" operator="lessThan">
      <formula>0.8</formula>
    </cfRule>
    <cfRule type="cellIs" dxfId="238" priority="41" operator="between">
      <formula>0.8</formula>
      <formula>0.9</formula>
    </cfRule>
    <cfRule type="cellIs" dxfId="237" priority="40" operator="greaterThanOrEqual">
      <formula>0.9</formula>
    </cfRule>
  </conditionalFormatting>
  <conditionalFormatting sqref="H21:H23">
    <cfRule type="cellIs" dxfId="236" priority="60" operator="lessThan">
      <formula>0.8</formula>
    </cfRule>
    <cfRule type="cellIs" dxfId="235" priority="59" operator="between">
      <formula>0.8</formula>
      <formula>0.9</formula>
    </cfRule>
    <cfRule type="cellIs" dxfId="234" priority="58" operator="greaterThanOrEqual">
      <formula>0.9</formula>
    </cfRule>
  </conditionalFormatting>
  <conditionalFormatting sqref="H25:H28">
    <cfRule type="cellIs" dxfId="233" priority="76" operator="greaterThanOrEqual">
      <formula>0.9</formula>
    </cfRule>
    <cfRule type="cellIs" dxfId="232" priority="77" operator="between">
      <formula>0.8</formula>
      <formula>0.9</formula>
    </cfRule>
    <cfRule type="cellIs" dxfId="231" priority="78" operator="lessThan">
      <formula>0.8</formula>
    </cfRule>
  </conditionalFormatting>
  <conditionalFormatting sqref="H30">
    <cfRule type="cellIs" dxfId="230" priority="114" operator="lessThan">
      <formula>0.8</formula>
    </cfRule>
    <cfRule type="cellIs" dxfId="229" priority="112" operator="greaterThanOrEqual">
      <formula>0.9</formula>
    </cfRule>
    <cfRule type="cellIs" dxfId="228" priority="113" operator="between">
      <formula>0.8</formula>
      <formula>0.9</formula>
    </cfRule>
  </conditionalFormatting>
  <conditionalFormatting sqref="K6:K11">
    <cfRule type="cellIs" dxfId="227" priority="7" operator="greaterThanOrEqual">
      <formula>0.9</formula>
    </cfRule>
    <cfRule type="cellIs" dxfId="226" priority="8" operator="between">
      <formula>0.8</formula>
      <formula>0.9</formula>
    </cfRule>
    <cfRule type="cellIs" dxfId="225" priority="9" operator="lessThan">
      <formula>0.8</formula>
    </cfRule>
  </conditionalFormatting>
  <conditionalFormatting sqref="K13:K16">
    <cfRule type="cellIs" dxfId="224" priority="26" operator="between">
      <formula>0.8</formula>
      <formula>0.9</formula>
    </cfRule>
    <cfRule type="cellIs" dxfId="223" priority="27" operator="lessThan">
      <formula>0.8</formula>
    </cfRule>
    <cfRule type="cellIs" dxfId="222" priority="25" operator="greaterThanOrEqual">
      <formula>0.9</formula>
    </cfRule>
  </conditionalFormatting>
  <conditionalFormatting sqref="K18:K19">
    <cfRule type="cellIs" dxfId="221" priority="45" operator="lessThan">
      <formula>0.8</formula>
    </cfRule>
    <cfRule type="cellIs" dxfId="220" priority="43" operator="greaterThanOrEqual">
      <formula>0.9</formula>
    </cfRule>
    <cfRule type="cellIs" dxfId="219" priority="44" operator="between">
      <formula>0.8</formula>
      <formula>0.9</formula>
    </cfRule>
  </conditionalFormatting>
  <conditionalFormatting sqref="K21:K23">
    <cfRule type="cellIs" dxfId="218" priority="61" operator="greaterThanOrEqual">
      <formula>0.9</formula>
    </cfRule>
    <cfRule type="cellIs" dxfId="217" priority="62" operator="between">
      <formula>0.8</formula>
      <formula>0.9</formula>
    </cfRule>
    <cfRule type="cellIs" dxfId="216" priority="63" operator="lessThan">
      <formula>0.8</formula>
    </cfRule>
  </conditionalFormatting>
  <conditionalFormatting sqref="K25:K28">
    <cfRule type="cellIs" dxfId="215" priority="81" operator="lessThan">
      <formula>0.8</formula>
    </cfRule>
    <cfRule type="cellIs" dxfId="214" priority="80" operator="between">
      <formula>0.8</formula>
      <formula>0.9</formula>
    </cfRule>
    <cfRule type="cellIs" dxfId="213" priority="79" operator="greaterThanOrEqual">
      <formula>0.9</formula>
    </cfRule>
  </conditionalFormatting>
  <conditionalFormatting sqref="K30">
    <cfRule type="cellIs" dxfId="212" priority="117" operator="lessThan">
      <formula>0.8</formula>
    </cfRule>
    <cfRule type="cellIs" dxfId="211" priority="116" operator="between">
      <formula>0.8</formula>
      <formula>0.9</formula>
    </cfRule>
    <cfRule type="cellIs" dxfId="210" priority="115" operator="greaterThanOrEqual">
      <formula>0.9</formula>
    </cfRule>
  </conditionalFormatting>
  <conditionalFormatting sqref="P6:P11">
    <cfRule type="cellIs" dxfId="209" priority="10" operator="greaterThanOrEqual">
      <formula>0.9</formula>
    </cfRule>
    <cfRule type="cellIs" dxfId="208" priority="11" operator="between">
      <formula>0.8</formula>
      <formula>0.9</formula>
    </cfRule>
    <cfRule type="cellIs" dxfId="207" priority="12" operator="lessThan">
      <formula>0.8</formula>
    </cfRule>
  </conditionalFormatting>
  <conditionalFormatting sqref="P13:P16">
    <cfRule type="cellIs" dxfId="206" priority="28" operator="greaterThanOrEqual">
      <formula>0.9</formula>
    </cfRule>
    <cfRule type="cellIs" dxfId="205" priority="29" operator="between">
      <formula>0.8</formula>
      <formula>0.9</formula>
    </cfRule>
    <cfRule type="cellIs" dxfId="204" priority="30" operator="lessThan">
      <formula>0.8</formula>
    </cfRule>
  </conditionalFormatting>
  <conditionalFormatting sqref="P18:P19">
    <cfRule type="cellIs" dxfId="203" priority="48" operator="lessThan">
      <formula>0.8</formula>
    </cfRule>
    <cfRule type="cellIs" dxfId="202" priority="47" operator="between">
      <formula>0.8</formula>
      <formula>0.9</formula>
    </cfRule>
    <cfRule type="cellIs" dxfId="201" priority="46" operator="greaterThanOrEqual">
      <formula>0.9</formula>
    </cfRule>
  </conditionalFormatting>
  <conditionalFormatting sqref="P21:P23">
    <cfRule type="cellIs" dxfId="200" priority="64" operator="greaterThanOrEqual">
      <formula>0.9</formula>
    </cfRule>
    <cfRule type="cellIs" dxfId="199" priority="65" operator="between">
      <formula>0.8</formula>
      <formula>0.9</formula>
    </cfRule>
    <cfRule type="cellIs" dxfId="198" priority="66" operator="lessThan">
      <formula>0.8</formula>
    </cfRule>
  </conditionalFormatting>
  <conditionalFormatting sqref="P25:P28">
    <cfRule type="cellIs" dxfId="197" priority="84" operator="lessThan">
      <formula>0.8</formula>
    </cfRule>
    <cfRule type="cellIs" dxfId="196" priority="82" operator="greaterThanOrEqual">
      <formula>0.9</formula>
    </cfRule>
    <cfRule type="cellIs" dxfId="195" priority="83" operator="between">
      <formula>0.8</formula>
      <formula>0.9</formula>
    </cfRule>
  </conditionalFormatting>
  <conditionalFormatting sqref="P30">
    <cfRule type="cellIs" dxfId="194" priority="120" operator="lessThan">
      <formula>0.8</formula>
    </cfRule>
    <cfRule type="cellIs" dxfId="193" priority="119" operator="between">
      <formula>0.8</formula>
      <formula>0.9</formula>
    </cfRule>
    <cfRule type="cellIs" dxfId="192" priority="118" operator="greaterThanOrEqual">
      <formula>0.9</formula>
    </cfRule>
  </conditionalFormatting>
  <conditionalFormatting sqref="S6:S11">
    <cfRule type="cellIs" dxfId="191" priority="13" operator="greaterThanOrEqual">
      <formula>0.9</formula>
    </cfRule>
    <cfRule type="cellIs" dxfId="190" priority="15" operator="lessThan">
      <formula>0.8</formula>
    </cfRule>
    <cfRule type="cellIs" dxfId="189" priority="14" operator="between">
      <formula>0.8</formula>
      <formula>0.9</formula>
    </cfRule>
  </conditionalFormatting>
  <conditionalFormatting sqref="S13:S16">
    <cfRule type="cellIs" dxfId="188" priority="33" operator="lessThan">
      <formula>0.8</formula>
    </cfRule>
    <cfRule type="cellIs" dxfId="187" priority="31" operator="greaterThanOrEqual">
      <formula>0.9</formula>
    </cfRule>
    <cfRule type="cellIs" dxfId="186" priority="32" operator="between">
      <formula>0.8</formula>
      <formula>0.9</formula>
    </cfRule>
  </conditionalFormatting>
  <conditionalFormatting sqref="S18:S19">
    <cfRule type="cellIs" dxfId="185" priority="51" operator="lessThan">
      <formula>0.8</formula>
    </cfRule>
    <cfRule type="cellIs" dxfId="184" priority="49" operator="greaterThanOrEqual">
      <formula>0.9</formula>
    </cfRule>
    <cfRule type="cellIs" dxfId="183" priority="50" operator="between">
      <formula>0.8</formula>
      <formula>0.9</formula>
    </cfRule>
  </conditionalFormatting>
  <conditionalFormatting sqref="S21:S23">
    <cfRule type="cellIs" dxfId="182" priority="69" operator="lessThan">
      <formula>0.8</formula>
    </cfRule>
    <cfRule type="cellIs" dxfId="181" priority="67" operator="greaterThanOrEqual">
      <formula>0.9</formula>
    </cfRule>
    <cfRule type="cellIs" dxfId="180" priority="68" operator="between">
      <formula>0.8</formula>
      <formula>0.9</formula>
    </cfRule>
  </conditionalFormatting>
  <conditionalFormatting sqref="S25:S28">
    <cfRule type="cellIs" dxfId="179" priority="85" operator="greaterThanOrEqual">
      <formula>0.9</formula>
    </cfRule>
    <cfRule type="cellIs" dxfId="178" priority="86" operator="between">
      <formula>0.8</formula>
      <formula>0.9</formula>
    </cfRule>
    <cfRule type="cellIs" dxfId="177" priority="87" operator="lessThan">
      <formula>0.8</formula>
    </cfRule>
  </conditionalFormatting>
  <conditionalFormatting sqref="S30">
    <cfRule type="cellIs" dxfId="176" priority="123" operator="lessThan">
      <formula>0.8</formula>
    </cfRule>
    <cfRule type="cellIs" dxfId="175" priority="122" operator="between">
      <formula>0.8</formula>
      <formula>0.9</formula>
    </cfRule>
    <cfRule type="cellIs" dxfId="174" priority="121" operator="greaterThanOrEqual">
      <formula>0.9</formula>
    </cfRule>
  </conditionalFormatting>
  <conditionalFormatting sqref="V6:V11">
    <cfRule type="cellIs" dxfId="173" priority="17" operator="between">
      <formula>0.8</formula>
      <formula>0.9</formula>
    </cfRule>
    <cfRule type="cellIs" dxfId="172" priority="16" operator="greaterThanOrEqual">
      <formula>0.9</formula>
    </cfRule>
    <cfRule type="cellIs" dxfId="171" priority="18" operator="lessThan">
      <formula>0.8</formula>
    </cfRule>
  </conditionalFormatting>
  <conditionalFormatting sqref="V13:V16">
    <cfRule type="cellIs" dxfId="170" priority="35" operator="between">
      <formula>0.8</formula>
      <formula>0.9</formula>
    </cfRule>
    <cfRule type="cellIs" dxfId="169" priority="34" operator="greaterThanOrEqual">
      <formula>0.9</formula>
    </cfRule>
    <cfRule type="cellIs" dxfId="168" priority="36" operator="lessThan">
      <formula>0.8</formula>
    </cfRule>
  </conditionalFormatting>
  <conditionalFormatting sqref="V18:V19">
    <cfRule type="cellIs" dxfId="167" priority="52" operator="greaterThanOrEqual">
      <formula>0.9</formula>
    </cfRule>
    <cfRule type="cellIs" dxfId="166" priority="53" operator="between">
      <formula>0.8</formula>
      <formula>0.9</formula>
    </cfRule>
    <cfRule type="cellIs" dxfId="165" priority="54" operator="lessThan">
      <formula>0.8</formula>
    </cfRule>
  </conditionalFormatting>
  <conditionalFormatting sqref="V21:V23">
    <cfRule type="cellIs" dxfId="164" priority="72" operator="lessThan">
      <formula>0.8</formula>
    </cfRule>
    <cfRule type="cellIs" dxfId="163" priority="70" operator="greaterThanOrEqual">
      <formula>0.9</formula>
    </cfRule>
    <cfRule type="cellIs" dxfId="162" priority="71" operator="between">
      <formula>0.8</formula>
      <formula>0.9</formula>
    </cfRule>
  </conditionalFormatting>
  <conditionalFormatting sqref="V25:V28">
    <cfRule type="cellIs" dxfId="161" priority="90" operator="lessThan">
      <formula>0.8</formula>
    </cfRule>
    <cfRule type="cellIs" dxfId="160" priority="89" operator="between">
      <formula>0.8</formula>
      <formula>0.9</formula>
    </cfRule>
    <cfRule type="cellIs" dxfId="159" priority="88" operator="greaterThanOrEqual">
      <formula>0.9</formula>
    </cfRule>
  </conditionalFormatting>
  <conditionalFormatting sqref="V30">
    <cfRule type="cellIs" dxfId="158" priority="124" operator="greaterThanOrEqual">
      <formula>0.9</formula>
    </cfRule>
    <cfRule type="cellIs" dxfId="157" priority="125" operator="between">
      <formula>0.8</formula>
      <formula>0.9</formula>
    </cfRule>
    <cfRule type="cellIs" dxfId="156" priority="126" operator="lessThan">
      <formula>0.8</formula>
    </cfRule>
  </conditionalFormatting>
  <pageMargins left="0.75" right="0.75" top="1" bottom="1" header="0.5" footer="0.5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>
    <tabColor theme="5"/>
  </sheetPr>
  <dimension ref="A1:V41"/>
  <sheetViews>
    <sheetView topLeftCell="A13" zoomScale="86" workbookViewId="0">
      <selection activeCell="B24" sqref="B24"/>
    </sheetView>
  </sheetViews>
  <sheetFormatPr defaultRowHeight="14" x14ac:dyDescent="0.25"/>
  <cols>
    <col min="1" max="1" width="26" customWidth="1"/>
    <col min="2" max="11" width="9" customWidth="1"/>
    <col min="12" max="12" width="18.08984375" customWidth="1"/>
    <col min="13" max="22" width="9" customWidth="1"/>
  </cols>
  <sheetData>
    <row r="1" spans="1:22" ht="30" customHeight="1" x14ac:dyDescent="0.25">
      <c r="A1" s="74" t="s">
        <v>270</v>
      </c>
      <c r="B1" s="55"/>
      <c r="C1" s="55"/>
      <c r="D1" s="55"/>
      <c r="E1" s="55"/>
      <c r="F1" s="55"/>
      <c r="G1" s="55"/>
      <c r="H1" s="55"/>
      <c r="I1" s="55"/>
      <c r="J1" s="55"/>
      <c r="K1" s="55"/>
      <c r="L1" s="55"/>
      <c r="M1" s="55"/>
      <c r="N1" s="55"/>
      <c r="O1" s="55"/>
      <c r="P1" s="55"/>
      <c r="Q1" s="55"/>
      <c r="R1" s="55"/>
      <c r="S1" s="55"/>
      <c r="T1" s="55"/>
      <c r="U1" s="55"/>
      <c r="V1" s="55"/>
    </row>
    <row r="2" spans="1:22" ht="6" customHeight="1" x14ac:dyDescent="0.25"/>
    <row r="3" spans="1:22" ht="24" customHeight="1" x14ac:dyDescent="0.25">
      <c r="A3" s="76" t="s">
        <v>160</v>
      </c>
      <c r="B3" s="59"/>
      <c r="C3" s="59"/>
      <c r="D3" s="59"/>
      <c r="E3" s="59"/>
      <c r="F3" s="59"/>
      <c r="G3" s="59"/>
      <c r="H3" s="59"/>
      <c r="I3" s="59"/>
      <c r="J3" s="59"/>
      <c r="K3" s="60"/>
      <c r="L3" s="11"/>
      <c r="M3" s="75" t="s">
        <v>161</v>
      </c>
      <c r="N3" s="59"/>
      <c r="O3" s="59"/>
      <c r="P3" s="59"/>
      <c r="Q3" s="59"/>
      <c r="R3" s="59"/>
      <c r="S3" s="59"/>
      <c r="T3" s="59"/>
      <c r="U3" s="59"/>
      <c r="V3" s="60"/>
    </row>
    <row r="4" spans="1:22" ht="24" customHeight="1" x14ac:dyDescent="0.25">
      <c r="A4" s="12" t="s">
        <v>162</v>
      </c>
      <c r="B4" s="12" t="s">
        <v>7</v>
      </c>
      <c r="C4" s="12" t="s">
        <v>51</v>
      </c>
      <c r="D4" s="12" t="s">
        <v>10</v>
      </c>
      <c r="E4" s="12" t="s">
        <v>11</v>
      </c>
      <c r="F4" s="12" t="s">
        <v>163</v>
      </c>
      <c r="G4" s="12" t="s">
        <v>164</v>
      </c>
      <c r="H4" s="12" t="s">
        <v>165</v>
      </c>
      <c r="I4" s="12" t="s">
        <v>166</v>
      </c>
      <c r="J4" s="12" t="s">
        <v>167</v>
      </c>
      <c r="K4" s="12" t="s">
        <v>168</v>
      </c>
      <c r="M4" s="12" t="s">
        <v>7</v>
      </c>
      <c r="N4" s="12" t="s">
        <v>51</v>
      </c>
      <c r="O4" s="12" t="s">
        <v>10</v>
      </c>
      <c r="P4" s="12" t="s">
        <v>11</v>
      </c>
      <c r="Q4" s="12" t="s">
        <v>163</v>
      </c>
      <c r="R4" s="12" t="s">
        <v>164</v>
      </c>
      <c r="S4" s="12" t="s">
        <v>165</v>
      </c>
      <c r="T4" s="12" t="s">
        <v>166</v>
      </c>
      <c r="U4" s="12" t="s">
        <v>167</v>
      </c>
      <c r="V4" s="12" t="s">
        <v>168</v>
      </c>
    </row>
    <row r="5" spans="1:22" ht="22" customHeight="1" x14ac:dyDescent="0.25">
      <c r="A5" s="13" t="s">
        <v>271</v>
      </c>
      <c r="B5" s="11"/>
      <c r="C5" s="11"/>
      <c r="D5" s="11"/>
      <c r="E5" s="11"/>
      <c r="F5" s="11"/>
      <c r="G5" s="11"/>
      <c r="H5" s="11"/>
      <c r="I5" s="11"/>
      <c r="J5" s="11"/>
      <c r="K5" s="11"/>
      <c r="L5" s="11"/>
      <c r="M5" s="11"/>
      <c r="N5" s="11"/>
      <c r="O5" s="11"/>
      <c r="P5" s="11"/>
      <c r="Q5" s="11"/>
      <c r="R5" s="11"/>
      <c r="S5" s="11"/>
      <c r="T5" s="11"/>
      <c r="U5" s="11"/>
      <c r="V5" s="11"/>
    </row>
    <row r="6" spans="1:22" ht="22" customHeight="1" x14ac:dyDescent="0.25">
      <c r="A6" s="14" t="s">
        <v>272</v>
      </c>
      <c r="B6" s="15">
        <v>616</v>
      </c>
      <c r="C6" s="15">
        <v>17</v>
      </c>
      <c r="D6" s="15">
        <v>14</v>
      </c>
      <c r="E6" s="15">
        <f>IF(AND(C6&lt;&gt;"",D6&lt;&gt;""),D6/C6,"")</f>
        <v>0.82352941176470584</v>
      </c>
      <c r="F6" s="15">
        <v>5</v>
      </c>
      <c r="G6" s="15">
        <v>4</v>
      </c>
      <c r="H6" s="15">
        <f>IF(AND(F6&lt;&gt;"",G6&lt;&gt;""),G6/F6,"")</f>
        <v>0.8</v>
      </c>
      <c r="I6" s="15">
        <f>C6-F6</f>
        <v>12</v>
      </c>
      <c r="J6" s="15">
        <f>D6-G6</f>
        <v>10</v>
      </c>
      <c r="K6" s="15">
        <f>IF(AND(I6&lt;&gt;"",J6&lt;&gt;""),J6/I6,"")</f>
        <v>0.83333333333333337</v>
      </c>
      <c r="L6" s="11"/>
      <c r="M6" s="15"/>
      <c r="N6" s="15"/>
      <c r="O6" s="15"/>
      <c r="P6" s="15" t="str">
        <f>IF(AND(N6&lt;&gt;"",O6&lt;&gt;""),O6/N6,"")</f>
        <v/>
      </c>
      <c r="Q6" s="15"/>
      <c r="R6" s="15"/>
      <c r="S6" s="15" t="str">
        <f>IF(AND(Q6&lt;&gt;"",R6&lt;&gt;""),R6/Q6,"")</f>
        <v/>
      </c>
      <c r="T6" s="15">
        <f>N6-Q6</f>
        <v>0</v>
      </c>
      <c r="U6" s="15">
        <f>O6-R6</f>
        <v>0</v>
      </c>
      <c r="V6" s="15" t="e">
        <f>IF(AND(T6&lt;&gt;"",U6&lt;&gt;""),U6/T6,"")</f>
        <v>#DIV/0!</v>
      </c>
    </row>
    <row r="7" spans="1:22" ht="22" customHeight="1" x14ac:dyDescent="0.25">
      <c r="A7" s="14" t="s">
        <v>273</v>
      </c>
      <c r="B7" s="15">
        <v>617</v>
      </c>
      <c r="C7" s="15">
        <v>38</v>
      </c>
      <c r="D7" s="15">
        <v>30</v>
      </c>
      <c r="E7" s="15">
        <f>IF(AND(C7&lt;&gt;"",D7&lt;&gt;""),D7/C7,"")</f>
        <v>0.78947368421052633</v>
      </c>
      <c r="F7" s="15">
        <v>10</v>
      </c>
      <c r="G7" s="15">
        <v>8</v>
      </c>
      <c r="H7" s="15">
        <f>IF(AND(F7&lt;&gt;"",G7&lt;&gt;""),G7/F7,"")</f>
        <v>0.8</v>
      </c>
      <c r="I7" s="15">
        <f>C7-F7</f>
        <v>28</v>
      </c>
      <c r="J7" s="15">
        <f>D7-G7</f>
        <v>22</v>
      </c>
      <c r="K7" s="15">
        <f>IF(AND(I7&lt;&gt;"",J7&lt;&gt;""),J7/I7,"")</f>
        <v>0.7857142857142857</v>
      </c>
      <c r="L7" s="11"/>
      <c r="M7" s="15"/>
      <c r="N7" s="15"/>
      <c r="O7" s="15"/>
      <c r="P7" s="15" t="str">
        <f>IF(AND(N7&lt;&gt;"",O7&lt;&gt;""),O7/N7,"")</f>
        <v/>
      </c>
      <c r="Q7" s="15"/>
      <c r="R7" s="15"/>
      <c r="S7" s="15" t="str">
        <f>IF(AND(Q7&lt;&gt;"",R7&lt;&gt;""),R7/Q7,"")</f>
        <v/>
      </c>
      <c r="T7" s="15">
        <f>N7-Q7</f>
        <v>0</v>
      </c>
      <c r="U7" s="15">
        <f>O7-R7</f>
        <v>0</v>
      </c>
      <c r="V7" s="15" t="e">
        <f>IF(AND(T7&lt;&gt;"",U7&lt;&gt;""),U7/T7,"")</f>
        <v>#DIV/0!</v>
      </c>
    </row>
    <row r="8" spans="1:22" ht="22" customHeight="1" x14ac:dyDescent="0.25">
      <c r="A8" s="13" t="s">
        <v>274</v>
      </c>
      <c r="B8" s="11"/>
      <c r="C8" s="11"/>
      <c r="D8" s="11"/>
      <c r="E8" s="11"/>
      <c r="F8" s="11"/>
      <c r="G8" s="11"/>
      <c r="H8" s="11"/>
      <c r="I8" s="11"/>
      <c r="J8" s="11"/>
      <c r="K8" s="11"/>
      <c r="L8" s="11"/>
      <c r="M8" s="11"/>
      <c r="N8" s="11"/>
      <c r="O8" s="11"/>
      <c r="P8" s="11"/>
      <c r="Q8" s="11"/>
      <c r="R8" s="11"/>
      <c r="S8" s="11"/>
      <c r="T8" s="11"/>
      <c r="U8" s="11"/>
      <c r="V8" s="11"/>
    </row>
    <row r="9" spans="1:22" ht="22" customHeight="1" x14ac:dyDescent="0.25">
      <c r="A9" s="14" t="s">
        <v>275</v>
      </c>
      <c r="B9" s="15">
        <v>618</v>
      </c>
      <c r="C9" s="15">
        <v>28</v>
      </c>
      <c r="D9" s="15">
        <v>21</v>
      </c>
      <c r="E9" s="15">
        <f>IF(AND(C9&lt;&gt;"",D9&lt;&gt;""),D9/C9,"")</f>
        <v>0.75</v>
      </c>
      <c r="F9" s="15">
        <v>11</v>
      </c>
      <c r="G9" s="15">
        <v>10</v>
      </c>
      <c r="H9" s="15">
        <f>IF(AND(F9&lt;&gt;"",G9&lt;&gt;""),G9/F9,"")</f>
        <v>0.90909090909090906</v>
      </c>
      <c r="I9" s="15">
        <f t="shared" ref="I9:J11" si="0">C9-F9</f>
        <v>17</v>
      </c>
      <c r="J9" s="15">
        <f t="shared" si="0"/>
        <v>11</v>
      </c>
      <c r="K9" s="15">
        <f>IF(AND(I9&lt;&gt;"",J9&lt;&gt;""),J9/I9,"")</f>
        <v>0.6470588235294118</v>
      </c>
      <c r="L9" s="11"/>
      <c r="M9" s="15"/>
      <c r="N9" s="15"/>
      <c r="O9" s="15"/>
      <c r="P9" s="15" t="str">
        <f>IF(AND(N9&lt;&gt;"",O9&lt;&gt;""),O9/N9,"")</f>
        <v/>
      </c>
      <c r="Q9" s="15"/>
      <c r="R9" s="15"/>
      <c r="S9" s="15" t="str">
        <f>IF(AND(Q9&lt;&gt;"",R9&lt;&gt;""),R9/Q9,"")</f>
        <v/>
      </c>
      <c r="T9" s="15">
        <f t="shared" ref="T9:U11" si="1">N9-Q9</f>
        <v>0</v>
      </c>
      <c r="U9" s="15">
        <f t="shared" si="1"/>
        <v>0</v>
      </c>
      <c r="V9" s="15" t="e">
        <f>IF(AND(T9&lt;&gt;"",U9&lt;&gt;""),U9/T9,"")</f>
        <v>#DIV/0!</v>
      </c>
    </row>
    <row r="10" spans="1:22" ht="22" customHeight="1" x14ac:dyDescent="0.25">
      <c r="A10" s="14" t="s">
        <v>276</v>
      </c>
      <c r="B10" s="15">
        <v>618</v>
      </c>
      <c r="C10" s="15">
        <v>12</v>
      </c>
      <c r="D10" s="15">
        <v>10</v>
      </c>
      <c r="E10" s="15">
        <f>IF(AND(C10&lt;&gt;"",D10&lt;&gt;""),D10/C10,"")</f>
        <v>0.83333333333333337</v>
      </c>
      <c r="F10" s="15">
        <v>2</v>
      </c>
      <c r="G10" s="15">
        <v>2</v>
      </c>
      <c r="H10" s="15">
        <f>IF(AND(F10&lt;&gt;"",G10&lt;&gt;""),G10/F10,"")</f>
        <v>1</v>
      </c>
      <c r="I10" s="15">
        <f t="shared" si="0"/>
        <v>10</v>
      </c>
      <c r="J10" s="15">
        <f t="shared" si="0"/>
        <v>8</v>
      </c>
      <c r="K10" s="15">
        <f>IF(AND(I10&lt;&gt;"",J10&lt;&gt;""),J10/I10,"")</f>
        <v>0.8</v>
      </c>
      <c r="L10" s="11"/>
      <c r="M10" s="15"/>
      <c r="N10" s="15"/>
      <c r="O10" s="15"/>
      <c r="P10" s="15" t="str">
        <f>IF(AND(N10&lt;&gt;"",O10&lt;&gt;""),O10/N10,"")</f>
        <v/>
      </c>
      <c r="Q10" s="15"/>
      <c r="R10" s="15"/>
      <c r="S10" s="15" t="str">
        <f>IF(AND(Q10&lt;&gt;"",R10&lt;&gt;""),R10/Q10,"")</f>
        <v/>
      </c>
      <c r="T10" s="15">
        <f t="shared" si="1"/>
        <v>0</v>
      </c>
      <c r="U10" s="15">
        <f t="shared" si="1"/>
        <v>0</v>
      </c>
      <c r="V10" s="15" t="e">
        <f>IF(AND(T10&lt;&gt;"",U10&lt;&gt;""),U10/T10,"")</f>
        <v>#DIV/0!</v>
      </c>
    </row>
    <row r="11" spans="1:22" ht="22" customHeight="1" x14ac:dyDescent="0.25">
      <c r="A11" s="14" t="s">
        <v>277</v>
      </c>
      <c r="B11" s="15">
        <v>618</v>
      </c>
      <c r="C11" s="15">
        <v>9</v>
      </c>
      <c r="D11" s="15">
        <v>9</v>
      </c>
      <c r="E11" s="15">
        <f>IF(AND(C11&lt;&gt;"",D11&lt;&gt;""),D11/C11,"")</f>
        <v>1</v>
      </c>
      <c r="F11" s="15">
        <v>0</v>
      </c>
      <c r="G11" s="15">
        <v>0</v>
      </c>
      <c r="H11" s="15" t="e">
        <f>IF(AND(F11&lt;&gt;"",G11&lt;&gt;""),G11/F11,"")</f>
        <v>#DIV/0!</v>
      </c>
      <c r="I11" s="15">
        <f t="shared" si="0"/>
        <v>9</v>
      </c>
      <c r="J11" s="15">
        <f t="shared" si="0"/>
        <v>9</v>
      </c>
      <c r="K11" s="15">
        <f>IF(AND(I11&lt;&gt;"",J11&lt;&gt;""),J11/I11,"")</f>
        <v>1</v>
      </c>
      <c r="L11" s="11"/>
      <c r="M11" s="15"/>
      <c r="N11" s="15"/>
      <c r="O11" s="15"/>
      <c r="P11" s="15" t="str">
        <f>IF(AND(N11&lt;&gt;"",O11&lt;&gt;""),O11/N11,"")</f>
        <v/>
      </c>
      <c r="Q11" s="15"/>
      <c r="R11" s="15"/>
      <c r="S11" s="15" t="str">
        <f>IF(AND(Q11&lt;&gt;"",R11&lt;&gt;""),R11/Q11,"")</f>
        <v/>
      </c>
      <c r="T11" s="15">
        <f t="shared" si="1"/>
        <v>0</v>
      </c>
      <c r="U11" s="15">
        <f t="shared" si="1"/>
        <v>0</v>
      </c>
      <c r="V11" s="15" t="e">
        <f>IF(AND(T11&lt;&gt;"",U11&lt;&gt;""),U11/T11,"")</f>
        <v>#DIV/0!</v>
      </c>
    </row>
    <row r="12" spans="1:22" ht="22" customHeight="1" x14ac:dyDescent="0.25">
      <c r="A12" s="13" t="s">
        <v>278</v>
      </c>
      <c r="B12" s="11"/>
      <c r="C12" s="11"/>
      <c r="D12" s="11"/>
      <c r="E12" s="11"/>
      <c r="F12" s="11"/>
      <c r="G12" s="11"/>
      <c r="H12" s="11"/>
      <c r="I12" s="11"/>
      <c r="J12" s="11"/>
      <c r="K12" s="11"/>
      <c r="L12" s="11"/>
      <c r="M12" s="11"/>
      <c r="N12" s="11"/>
      <c r="O12" s="11"/>
      <c r="P12" s="11"/>
      <c r="Q12" s="11"/>
      <c r="R12" s="11"/>
      <c r="S12" s="11"/>
      <c r="T12" s="11"/>
      <c r="U12" s="11"/>
      <c r="V12" s="11"/>
    </row>
    <row r="13" spans="1:22" ht="22" customHeight="1" x14ac:dyDescent="0.25">
      <c r="A13" s="14" t="s">
        <v>279</v>
      </c>
      <c r="B13" s="15">
        <v>619</v>
      </c>
      <c r="C13" s="15">
        <v>6</v>
      </c>
      <c r="D13" s="15">
        <v>3</v>
      </c>
      <c r="E13" s="15">
        <f t="shared" ref="E13:E20" si="2">IF(AND(C13&lt;&gt;"",D13&lt;&gt;""),D13/C13,"")</f>
        <v>0.5</v>
      </c>
      <c r="F13" s="15">
        <v>0</v>
      </c>
      <c r="G13" s="15">
        <v>0</v>
      </c>
      <c r="H13" s="15" t="e">
        <f t="shared" ref="H13:H20" si="3">IF(AND(F13&lt;&gt;"",G13&lt;&gt;""),G13/F13,"")</f>
        <v>#DIV/0!</v>
      </c>
      <c r="I13" s="15">
        <f t="shared" ref="I13:J20" si="4">C13-F13</f>
        <v>6</v>
      </c>
      <c r="J13" s="15">
        <f t="shared" si="4"/>
        <v>3</v>
      </c>
      <c r="K13" s="15">
        <f t="shared" ref="K13:K20" si="5">IF(AND(I13&lt;&gt;"",J13&lt;&gt;""),J13/I13,"")</f>
        <v>0.5</v>
      </c>
      <c r="L13" s="11"/>
      <c r="M13" s="15"/>
      <c r="N13" s="15"/>
      <c r="O13" s="15"/>
      <c r="P13" s="15" t="str">
        <f t="shared" ref="P13:P20" si="6">IF(AND(N13&lt;&gt;"",O13&lt;&gt;""),O13/N13,"")</f>
        <v/>
      </c>
      <c r="Q13" s="15"/>
      <c r="R13" s="15"/>
      <c r="S13" s="15" t="str">
        <f t="shared" ref="S13:S20" si="7">IF(AND(Q13&lt;&gt;"",R13&lt;&gt;""),R13/Q13,"")</f>
        <v/>
      </c>
      <c r="T13" s="15">
        <f t="shared" ref="T13:U20" si="8">N13-Q13</f>
        <v>0</v>
      </c>
      <c r="U13" s="15">
        <f t="shared" si="8"/>
        <v>0</v>
      </c>
      <c r="V13" s="15" t="e">
        <f t="shared" ref="V13:V20" si="9">IF(AND(T13&lt;&gt;"",U13&lt;&gt;""),U13/T13,"")</f>
        <v>#DIV/0!</v>
      </c>
    </row>
    <row r="14" spans="1:22" ht="22" customHeight="1" x14ac:dyDescent="0.25">
      <c r="A14" s="14" t="s">
        <v>280</v>
      </c>
      <c r="B14" s="15">
        <v>619</v>
      </c>
      <c r="C14" s="15">
        <v>1</v>
      </c>
      <c r="D14" s="15">
        <v>1</v>
      </c>
      <c r="E14" s="15">
        <f t="shared" si="2"/>
        <v>1</v>
      </c>
      <c r="F14" s="15">
        <v>1</v>
      </c>
      <c r="G14" s="15">
        <v>1</v>
      </c>
      <c r="H14" s="15">
        <f t="shared" si="3"/>
        <v>1</v>
      </c>
      <c r="I14" s="15">
        <f t="shared" si="4"/>
        <v>0</v>
      </c>
      <c r="J14" s="15">
        <f t="shared" si="4"/>
        <v>0</v>
      </c>
      <c r="K14" s="15" t="e">
        <f t="shared" si="5"/>
        <v>#DIV/0!</v>
      </c>
      <c r="L14" s="11"/>
      <c r="M14" s="15"/>
      <c r="N14" s="15"/>
      <c r="O14" s="15"/>
      <c r="P14" s="15" t="str">
        <f t="shared" si="6"/>
        <v/>
      </c>
      <c r="Q14" s="15"/>
      <c r="R14" s="15"/>
      <c r="S14" s="15" t="str">
        <f t="shared" si="7"/>
        <v/>
      </c>
      <c r="T14" s="15">
        <f t="shared" si="8"/>
        <v>0</v>
      </c>
      <c r="U14" s="15">
        <f t="shared" si="8"/>
        <v>0</v>
      </c>
      <c r="V14" s="15" t="e">
        <f t="shared" si="9"/>
        <v>#DIV/0!</v>
      </c>
    </row>
    <row r="15" spans="1:22" ht="22" customHeight="1" x14ac:dyDescent="0.25">
      <c r="A15" s="14" t="s">
        <v>281</v>
      </c>
      <c r="B15" s="15">
        <v>619</v>
      </c>
      <c r="C15" s="15">
        <v>9</v>
      </c>
      <c r="D15" s="15">
        <v>8</v>
      </c>
      <c r="E15" s="15">
        <f t="shared" si="2"/>
        <v>0.88888888888888884</v>
      </c>
      <c r="F15" s="15">
        <v>2</v>
      </c>
      <c r="G15" s="15">
        <v>2</v>
      </c>
      <c r="H15" s="15">
        <f t="shared" si="3"/>
        <v>1</v>
      </c>
      <c r="I15" s="15">
        <f t="shared" si="4"/>
        <v>7</v>
      </c>
      <c r="J15" s="15">
        <f t="shared" si="4"/>
        <v>6</v>
      </c>
      <c r="K15" s="15">
        <f t="shared" si="5"/>
        <v>0.8571428571428571</v>
      </c>
      <c r="L15" s="11"/>
      <c r="M15" s="15"/>
      <c r="N15" s="15"/>
      <c r="O15" s="15"/>
      <c r="P15" s="15" t="str">
        <f t="shared" si="6"/>
        <v/>
      </c>
      <c r="Q15" s="15"/>
      <c r="R15" s="15"/>
      <c r="S15" s="15" t="str">
        <f t="shared" si="7"/>
        <v/>
      </c>
      <c r="T15" s="15">
        <f t="shared" si="8"/>
        <v>0</v>
      </c>
      <c r="U15" s="15">
        <f t="shared" si="8"/>
        <v>0</v>
      </c>
      <c r="V15" s="15" t="e">
        <f t="shared" si="9"/>
        <v>#DIV/0!</v>
      </c>
    </row>
    <row r="16" spans="1:22" ht="22" customHeight="1" x14ac:dyDescent="0.25">
      <c r="A16" s="14" t="s">
        <v>282</v>
      </c>
      <c r="B16" s="15">
        <v>620</v>
      </c>
      <c r="C16" s="15">
        <v>31</v>
      </c>
      <c r="D16" s="15">
        <v>28</v>
      </c>
      <c r="E16" s="15">
        <f t="shared" si="2"/>
        <v>0.90322580645161288</v>
      </c>
      <c r="F16" s="15">
        <v>10</v>
      </c>
      <c r="G16" s="15">
        <v>8</v>
      </c>
      <c r="H16" s="15">
        <f t="shared" si="3"/>
        <v>0.8</v>
      </c>
      <c r="I16" s="15">
        <f t="shared" si="4"/>
        <v>21</v>
      </c>
      <c r="J16" s="15">
        <f t="shared" si="4"/>
        <v>20</v>
      </c>
      <c r="K16" s="15">
        <f t="shared" si="5"/>
        <v>0.95238095238095233</v>
      </c>
      <c r="L16" s="11"/>
      <c r="M16" s="15"/>
      <c r="N16" s="15"/>
      <c r="O16" s="15"/>
      <c r="P16" s="15" t="str">
        <f t="shared" si="6"/>
        <v/>
      </c>
      <c r="Q16" s="15"/>
      <c r="R16" s="15"/>
      <c r="S16" s="15" t="str">
        <f t="shared" si="7"/>
        <v/>
      </c>
      <c r="T16" s="15">
        <f t="shared" si="8"/>
        <v>0</v>
      </c>
      <c r="U16" s="15">
        <f t="shared" si="8"/>
        <v>0</v>
      </c>
      <c r="V16" s="15" t="e">
        <f t="shared" si="9"/>
        <v>#DIV/0!</v>
      </c>
    </row>
    <row r="17" spans="1:22" ht="22" customHeight="1" x14ac:dyDescent="0.25">
      <c r="A17" s="14" t="s">
        <v>283</v>
      </c>
      <c r="B17" s="15">
        <v>621</v>
      </c>
      <c r="C17" s="15">
        <v>21</v>
      </c>
      <c r="D17" s="15">
        <v>21</v>
      </c>
      <c r="E17" s="15">
        <f t="shared" si="2"/>
        <v>1</v>
      </c>
      <c r="F17" s="15">
        <v>2</v>
      </c>
      <c r="G17" s="15">
        <v>2</v>
      </c>
      <c r="H17" s="15">
        <f t="shared" si="3"/>
        <v>1</v>
      </c>
      <c r="I17" s="15">
        <f t="shared" si="4"/>
        <v>19</v>
      </c>
      <c r="J17" s="15">
        <f t="shared" si="4"/>
        <v>19</v>
      </c>
      <c r="K17" s="15">
        <f t="shared" si="5"/>
        <v>1</v>
      </c>
      <c r="L17" s="11"/>
      <c r="M17" s="15"/>
      <c r="N17" s="15"/>
      <c r="O17" s="15"/>
      <c r="P17" s="15" t="str">
        <f t="shared" si="6"/>
        <v/>
      </c>
      <c r="Q17" s="15"/>
      <c r="R17" s="15"/>
      <c r="S17" s="15" t="str">
        <f t="shared" si="7"/>
        <v/>
      </c>
      <c r="T17" s="15">
        <f t="shared" si="8"/>
        <v>0</v>
      </c>
      <c r="U17" s="15">
        <f t="shared" si="8"/>
        <v>0</v>
      </c>
      <c r="V17" s="15" t="e">
        <f t="shared" si="9"/>
        <v>#DIV/0!</v>
      </c>
    </row>
    <row r="18" spans="1:22" ht="22" customHeight="1" x14ac:dyDescent="0.25">
      <c r="A18" s="14" t="s">
        <v>284</v>
      </c>
      <c r="B18" s="15">
        <v>622</v>
      </c>
      <c r="C18" s="15">
        <v>49</v>
      </c>
      <c r="D18" s="15">
        <v>36</v>
      </c>
      <c r="E18" s="15">
        <f t="shared" si="2"/>
        <v>0.73469387755102045</v>
      </c>
      <c r="F18" s="15">
        <v>13</v>
      </c>
      <c r="G18" s="15">
        <v>11</v>
      </c>
      <c r="H18" s="15">
        <f>IF(AND(F18&lt;&gt;"",G18&lt;&gt;""),G18/F18,"")</f>
        <v>0.84615384615384615</v>
      </c>
      <c r="I18" s="15">
        <f t="shared" si="4"/>
        <v>36</v>
      </c>
      <c r="J18" s="15">
        <f>D18-G18</f>
        <v>25</v>
      </c>
      <c r="K18" s="15">
        <f t="shared" si="5"/>
        <v>0.69444444444444442</v>
      </c>
      <c r="L18" s="11"/>
      <c r="M18" s="15"/>
      <c r="N18" s="15"/>
      <c r="O18" s="15"/>
      <c r="P18" s="15" t="str">
        <f t="shared" si="6"/>
        <v/>
      </c>
      <c r="Q18" s="15"/>
      <c r="R18" s="15"/>
      <c r="S18" s="15" t="str">
        <f t="shared" si="7"/>
        <v/>
      </c>
      <c r="T18" s="15">
        <f t="shared" si="8"/>
        <v>0</v>
      </c>
      <c r="U18" s="15">
        <f t="shared" si="8"/>
        <v>0</v>
      </c>
      <c r="V18" s="15" t="e">
        <f t="shared" si="9"/>
        <v>#DIV/0!</v>
      </c>
    </row>
    <row r="19" spans="1:22" ht="22" customHeight="1" x14ac:dyDescent="0.25">
      <c r="A19" s="14" t="s">
        <v>285</v>
      </c>
      <c r="B19" s="15">
        <v>623</v>
      </c>
      <c r="C19" s="15">
        <v>12</v>
      </c>
      <c r="D19" s="15">
        <v>11</v>
      </c>
      <c r="E19" s="15">
        <f t="shared" si="2"/>
        <v>0.91666666666666663</v>
      </c>
      <c r="F19" s="15">
        <v>0</v>
      </c>
      <c r="G19" s="15">
        <v>0</v>
      </c>
      <c r="H19" s="15" t="e">
        <f>IF(AND(F19&lt;&gt;"",G19&lt;&gt;""),G19/F19,"")</f>
        <v>#DIV/0!</v>
      </c>
      <c r="I19" s="15">
        <f t="shared" si="4"/>
        <v>12</v>
      </c>
      <c r="J19" s="15">
        <f>D19-G19</f>
        <v>11</v>
      </c>
      <c r="K19" s="15">
        <f t="shared" si="5"/>
        <v>0.91666666666666663</v>
      </c>
      <c r="L19" s="11"/>
      <c r="M19" s="15"/>
      <c r="N19" s="15"/>
      <c r="O19" s="15"/>
      <c r="P19" s="15" t="str">
        <f t="shared" si="6"/>
        <v/>
      </c>
      <c r="Q19" s="15"/>
      <c r="R19" s="15"/>
      <c r="S19" s="15" t="str">
        <f t="shared" si="7"/>
        <v/>
      </c>
      <c r="T19" s="15">
        <f t="shared" si="8"/>
        <v>0</v>
      </c>
      <c r="U19" s="15">
        <f t="shared" si="8"/>
        <v>0</v>
      </c>
      <c r="V19" s="15" t="e">
        <f t="shared" si="9"/>
        <v>#DIV/0!</v>
      </c>
    </row>
    <row r="20" spans="1:22" ht="22" customHeight="1" x14ac:dyDescent="0.25">
      <c r="A20" s="14" t="s">
        <v>286</v>
      </c>
      <c r="B20" s="15">
        <v>623</v>
      </c>
      <c r="C20" s="15">
        <v>23</v>
      </c>
      <c r="D20" s="15">
        <v>17</v>
      </c>
      <c r="E20" s="15">
        <f t="shared" si="2"/>
        <v>0.73913043478260865</v>
      </c>
      <c r="F20" s="15">
        <v>5</v>
      </c>
      <c r="G20" s="15">
        <v>2</v>
      </c>
      <c r="H20" s="15">
        <f t="shared" si="3"/>
        <v>0.4</v>
      </c>
      <c r="I20" s="15">
        <f t="shared" si="4"/>
        <v>18</v>
      </c>
      <c r="J20" s="15">
        <f t="shared" si="4"/>
        <v>15</v>
      </c>
      <c r="K20" s="15">
        <f t="shared" si="5"/>
        <v>0.83333333333333337</v>
      </c>
      <c r="L20" s="11"/>
      <c r="M20" s="15"/>
      <c r="N20" s="15"/>
      <c r="O20" s="15"/>
      <c r="P20" s="15" t="str">
        <f t="shared" si="6"/>
        <v/>
      </c>
      <c r="Q20" s="15"/>
      <c r="R20" s="15"/>
      <c r="S20" s="15" t="str">
        <f t="shared" si="7"/>
        <v/>
      </c>
      <c r="T20" s="15">
        <f t="shared" si="8"/>
        <v>0</v>
      </c>
      <c r="U20" s="15">
        <f t="shared" si="8"/>
        <v>0</v>
      </c>
      <c r="V20" s="15" t="e">
        <f t="shared" si="9"/>
        <v>#DIV/0!</v>
      </c>
    </row>
    <row r="21" spans="1:22" ht="22" customHeight="1" x14ac:dyDescent="0.25">
      <c r="A21" s="13" t="s">
        <v>287</v>
      </c>
      <c r="B21" s="11"/>
      <c r="C21" s="11"/>
      <c r="D21" s="11"/>
      <c r="E21" s="11"/>
      <c r="F21" s="11"/>
      <c r="G21" s="11"/>
      <c r="H21" s="11"/>
      <c r="I21" s="11"/>
      <c r="J21" s="11"/>
      <c r="K21" s="11"/>
      <c r="L21" s="11"/>
      <c r="M21" s="11"/>
      <c r="N21" s="11"/>
      <c r="O21" s="11"/>
      <c r="P21" s="11"/>
      <c r="Q21" s="11"/>
      <c r="R21" s="11"/>
      <c r="S21" s="11"/>
      <c r="T21" s="11"/>
      <c r="U21" s="11"/>
      <c r="V21" s="11"/>
    </row>
    <row r="22" spans="1:22" ht="22" customHeight="1" x14ac:dyDescent="0.25">
      <c r="A22" s="14" t="s">
        <v>288</v>
      </c>
      <c r="B22" s="15">
        <v>624</v>
      </c>
      <c r="C22" s="15">
        <v>21</v>
      </c>
      <c r="D22" s="15">
        <v>16</v>
      </c>
      <c r="E22" s="15">
        <f t="shared" ref="E22:E28" si="10">IF(AND(C22&lt;&gt;"",D22&lt;&gt;""),D22/C22,"")</f>
        <v>0.76190476190476186</v>
      </c>
      <c r="F22" s="15">
        <v>3</v>
      </c>
      <c r="G22" s="15">
        <v>3</v>
      </c>
      <c r="H22" s="15">
        <f t="shared" ref="H22:H28" si="11">IF(AND(F22&lt;&gt;"",G22&lt;&gt;""),G22/F22,"")</f>
        <v>1</v>
      </c>
      <c r="I22" s="15">
        <f t="shared" ref="I22:J28" si="12">C22-F22</f>
        <v>18</v>
      </c>
      <c r="J22" s="15">
        <f t="shared" si="12"/>
        <v>13</v>
      </c>
      <c r="K22" s="15">
        <f t="shared" ref="K22:K28" si="13">IF(AND(I22&lt;&gt;"",J22&lt;&gt;""),J22/I22,"")</f>
        <v>0.72222222222222221</v>
      </c>
      <c r="L22" s="11"/>
      <c r="M22" s="15"/>
      <c r="N22" s="15"/>
      <c r="O22" s="15"/>
      <c r="P22" s="15" t="str">
        <f t="shared" ref="P22:P28" si="14">IF(AND(N22&lt;&gt;"",O22&lt;&gt;""),O22/N22,"")</f>
        <v/>
      </c>
      <c r="Q22" s="15"/>
      <c r="R22" s="15"/>
      <c r="S22" s="15" t="str">
        <f t="shared" ref="S22:S28" si="15">IF(AND(Q22&lt;&gt;"",R22&lt;&gt;""),R22/Q22,"")</f>
        <v/>
      </c>
      <c r="T22" s="15">
        <f t="shared" ref="T22:U28" si="16">N22-Q22</f>
        <v>0</v>
      </c>
      <c r="U22" s="15">
        <f t="shared" si="16"/>
        <v>0</v>
      </c>
      <c r="V22" s="15" t="e">
        <f t="shared" ref="V22:V28" si="17">IF(AND(T22&lt;&gt;"",U22&lt;&gt;""),U22/T22,"")</f>
        <v>#DIV/0!</v>
      </c>
    </row>
    <row r="23" spans="1:22" ht="22" customHeight="1" x14ac:dyDescent="0.25">
      <c r="A23" s="14" t="s">
        <v>289</v>
      </c>
      <c r="B23" s="15"/>
      <c r="C23" s="15"/>
      <c r="D23" s="15"/>
      <c r="E23" s="15" t="str">
        <f t="shared" si="10"/>
        <v/>
      </c>
      <c r="F23" s="15"/>
      <c r="G23" s="15"/>
      <c r="H23" s="15" t="str">
        <f t="shared" si="11"/>
        <v/>
      </c>
      <c r="I23" s="15">
        <f t="shared" si="12"/>
        <v>0</v>
      </c>
      <c r="J23" s="15">
        <f t="shared" si="12"/>
        <v>0</v>
      </c>
      <c r="K23" s="15" t="e">
        <f t="shared" si="13"/>
        <v>#DIV/0!</v>
      </c>
      <c r="L23" s="11"/>
      <c r="M23" s="15"/>
      <c r="N23" s="15"/>
      <c r="O23" s="15"/>
      <c r="P23" s="15" t="str">
        <f t="shared" si="14"/>
        <v/>
      </c>
      <c r="Q23" s="15"/>
      <c r="R23" s="15"/>
      <c r="S23" s="15" t="str">
        <f t="shared" si="15"/>
        <v/>
      </c>
      <c r="T23" s="15">
        <f t="shared" si="16"/>
        <v>0</v>
      </c>
      <c r="U23" s="15">
        <f t="shared" si="16"/>
        <v>0</v>
      </c>
      <c r="V23" s="15" t="e">
        <f t="shared" si="17"/>
        <v>#DIV/0!</v>
      </c>
    </row>
    <row r="24" spans="1:22" ht="22" customHeight="1" x14ac:dyDescent="0.25">
      <c r="A24" s="14" t="s">
        <v>290</v>
      </c>
      <c r="B24" s="15"/>
      <c r="C24" s="15"/>
      <c r="D24" s="15"/>
      <c r="E24" s="15" t="str">
        <f t="shared" si="10"/>
        <v/>
      </c>
      <c r="F24" s="15"/>
      <c r="G24" s="15"/>
      <c r="H24" s="15" t="str">
        <f t="shared" si="11"/>
        <v/>
      </c>
      <c r="I24" s="15">
        <f t="shared" si="12"/>
        <v>0</v>
      </c>
      <c r="J24" s="15">
        <f t="shared" si="12"/>
        <v>0</v>
      </c>
      <c r="K24" s="15" t="e">
        <f t="shared" si="13"/>
        <v>#DIV/0!</v>
      </c>
      <c r="L24" s="11"/>
      <c r="M24" s="15"/>
      <c r="N24" s="15"/>
      <c r="O24" s="15"/>
      <c r="P24" s="15" t="str">
        <f t="shared" si="14"/>
        <v/>
      </c>
      <c r="Q24" s="15"/>
      <c r="R24" s="15"/>
      <c r="S24" s="15" t="str">
        <f t="shared" si="15"/>
        <v/>
      </c>
      <c r="T24" s="15">
        <f t="shared" si="16"/>
        <v>0</v>
      </c>
      <c r="U24" s="15">
        <f t="shared" si="16"/>
        <v>0</v>
      </c>
      <c r="V24" s="15" t="e">
        <f t="shared" si="17"/>
        <v>#DIV/0!</v>
      </c>
    </row>
    <row r="25" spans="1:22" ht="22" customHeight="1" x14ac:dyDescent="0.25">
      <c r="A25" s="14" t="s">
        <v>291</v>
      </c>
      <c r="B25" s="15"/>
      <c r="C25" s="15"/>
      <c r="D25" s="15"/>
      <c r="E25" s="15" t="str">
        <f t="shared" si="10"/>
        <v/>
      </c>
      <c r="F25" s="15"/>
      <c r="G25" s="15"/>
      <c r="H25" s="15" t="str">
        <f t="shared" si="11"/>
        <v/>
      </c>
      <c r="I25" s="15">
        <f t="shared" si="12"/>
        <v>0</v>
      </c>
      <c r="J25" s="15">
        <f t="shared" si="12"/>
        <v>0</v>
      </c>
      <c r="K25" s="15" t="e">
        <f t="shared" si="13"/>
        <v>#DIV/0!</v>
      </c>
      <c r="L25" s="11"/>
      <c r="M25" s="15"/>
      <c r="N25" s="15"/>
      <c r="O25" s="15"/>
      <c r="P25" s="15" t="str">
        <f t="shared" si="14"/>
        <v/>
      </c>
      <c r="Q25" s="15"/>
      <c r="R25" s="15"/>
      <c r="S25" s="15" t="str">
        <f t="shared" si="15"/>
        <v/>
      </c>
      <c r="T25" s="15">
        <f t="shared" si="16"/>
        <v>0</v>
      </c>
      <c r="U25" s="15">
        <f t="shared" si="16"/>
        <v>0</v>
      </c>
      <c r="V25" s="15" t="e">
        <f t="shared" si="17"/>
        <v>#DIV/0!</v>
      </c>
    </row>
    <row r="26" spans="1:22" ht="22" customHeight="1" x14ac:dyDescent="0.25">
      <c r="A26" s="14" t="s">
        <v>292</v>
      </c>
      <c r="B26" s="15"/>
      <c r="C26" s="15"/>
      <c r="D26" s="15"/>
      <c r="E26" s="15" t="str">
        <f t="shared" si="10"/>
        <v/>
      </c>
      <c r="F26" s="15"/>
      <c r="G26" s="15"/>
      <c r="H26" s="15" t="str">
        <f t="shared" si="11"/>
        <v/>
      </c>
      <c r="I26" s="15">
        <f t="shared" si="12"/>
        <v>0</v>
      </c>
      <c r="J26" s="15">
        <f t="shared" si="12"/>
        <v>0</v>
      </c>
      <c r="K26" s="15" t="e">
        <f t="shared" si="13"/>
        <v>#DIV/0!</v>
      </c>
      <c r="L26" s="11"/>
      <c r="M26" s="15"/>
      <c r="N26" s="15"/>
      <c r="O26" s="15"/>
      <c r="P26" s="15" t="str">
        <f t="shared" si="14"/>
        <v/>
      </c>
      <c r="Q26" s="15"/>
      <c r="R26" s="15"/>
      <c r="S26" s="15" t="str">
        <f t="shared" si="15"/>
        <v/>
      </c>
      <c r="T26" s="15">
        <f t="shared" si="16"/>
        <v>0</v>
      </c>
      <c r="U26" s="15">
        <f t="shared" si="16"/>
        <v>0</v>
      </c>
      <c r="V26" s="15" t="e">
        <f t="shared" si="17"/>
        <v>#DIV/0!</v>
      </c>
    </row>
    <row r="27" spans="1:22" ht="22" customHeight="1" x14ac:dyDescent="0.25">
      <c r="A27" s="14" t="s">
        <v>293</v>
      </c>
      <c r="B27" s="15"/>
      <c r="C27" s="15"/>
      <c r="D27" s="15"/>
      <c r="E27" s="15" t="str">
        <f t="shared" si="10"/>
        <v/>
      </c>
      <c r="F27" s="15"/>
      <c r="G27" s="15"/>
      <c r="H27" s="15" t="str">
        <f t="shared" si="11"/>
        <v/>
      </c>
      <c r="I27" s="15">
        <f t="shared" si="12"/>
        <v>0</v>
      </c>
      <c r="J27" s="15">
        <f t="shared" si="12"/>
        <v>0</v>
      </c>
      <c r="K27" s="15" t="e">
        <f t="shared" si="13"/>
        <v>#DIV/0!</v>
      </c>
      <c r="L27" s="11"/>
      <c r="M27" s="15"/>
      <c r="N27" s="15"/>
      <c r="O27" s="15"/>
      <c r="P27" s="15" t="str">
        <f t="shared" si="14"/>
        <v/>
      </c>
      <c r="Q27" s="15"/>
      <c r="R27" s="15"/>
      <c r="S27" s="15" t="str">
        <f t="shared" si="15"/>
        <v/>
      </c>
      <c r="T27" s="15">
        <f t="shared" si="16"/>
        <v>0</v>
      </c>
      <c r="U27" s="15">
        <f t="shared" si="16"/>
        <v>0</v>
      </c>
      <c r="V27" s="15" t="e">
        <f t="shared" si="17"/>
        <v>#DIV/0!</v>
      </c>
    </row>
    <row r="28" spans="1:22" ht="22" customHeight="1" x14ac:dyDescent="0.25">
      <c r="A28" s="14" t="s">
        <v>294</v>
      </c>
      <c r="B28" s="15"/>
      <c r="C28" s="15"/>
      <c r="D28" s="15"/>
      <c r="E28" s="15" t="str">
        <f t="shared" si="10"/>
        <v/>
      </c>
      <c r="F28" s="15"/>
      <c r="G28" s="15"/>
      <c r="H28" s="15" t="str">
        <f t="shared" si="11"/>
        <v/>
      </c>
      <c r="I28" s="15">
        <f t="shared" si="12"/>
        <v>0</v>
      </c>
      <c r="J28" s="15">
        <f t="shared" si="12"/>
        <v>0</v>
      </c>
      <c r="K28" s="15" t="e">
        <f t="shared" si="13"/>
        <v>#DIV/0!</v>
      </c>
      <c r="L28" s="11"/>
      <c r="M28" s="15"/>
      <c r="N28" s="15"/>
      <c r="O28" s="15"/>
      <c r="P28" s="15" t="str">
        <f t="shared" si="14"/>
        <v/>
      </c>
      <c r="Q28" s="15"/>
      <c r="R28" s="15"/>
      <c r="S28" s="15" t="str">
        <f t="shared" si="15"/>
        <v/>
      </c>
      <c r="T28" s="15">
        <f t="shared" si="16"/>
        <v>0</v>
      </c>
      <c r="U28" s="15">
        <f t="shared" si="16"/>
        <v>0</v>
      </c>
      <c r="V28" s="15" t="e">
        <f t="shared" si="17"/>
        <v>#DIV/0!</v>
      </c>
    </row>
    <row r="29" spans="1:22" ht="22" customHeight="1" x14ac:dyDescent="0.25">
      <c r="A29" s="13" t="s">
        <v>295</v>
      </c>
      <c r="B29" s="11"/>
      <c r="C29" s="11"/>
      <c r="D29" s="11"/>
      <c r="E29" s="11"/>
      <c r="F29" s="11"/>
      <c r="G29" s="11"/>
      <c r="H29" s="11"/>
      <c r="I29" s="11"/>
      <c r="J29" s="11"/>
      <c r="K29" s="11"/>
      <c r="L29" s="11"/>
      <c r="M29" s="11"/>
      <c r="N29" s="11"/>
      <c r="O29" s="11"/>
      <c r="P29" s="11"/>
      <c r="Q29" s="11"/>
      <c r="R29" s="11"/>
      <c r="S29" s="11"/>
      <c r="T29" s="11"/>
      <c r="U29" s="11"/>
      <c r="V29" s="11"/>
    </row>
    <row r="30" spans="1:22" ht="22" customHeight="1" x14ac:dyDescent="0.25">
      <c r="A30" s="14" t="s">
        <v>296</v>
      </c>
      <c r="B30" s="15"/>
      <c r="C30" s="15"/>
      <c r="D30" s="15"/>
      <c r="E30" s="15" t="str">
        <f>IF(AND(C30&lt;&gt;"",D30&lt;&gt;""),D30/C30,"")</f>
        <v/>
      </c>
      <c r="F30" s="15"/>
      <c r="G30" s="15"/>
      <c r="H30" s="15" t="str">
        <f>IF(AND(F30&lt;&gt;"",G30&lt;&gt;""),G30/F30,"")</f>
        <v/>
      </c>
      <c r="I30" s="15">
        <f t="shared" ref="I30:J32" si="18">C30-F30</f>
        <v>0</v>
      </c>
      <c r="J30" s="15">
        <f t="shared" si="18"/>
        <v>0</v>
      </c>
      <c r="K30" s="15" t="e">
        <f>IF(AND(I30&lt;&gt;"",J30&lt;&gt;""),J30/I30,"")</f>
        <v>#DIV/0!</v>
      </c>
      <c r="L30" s="11"/>
      <c r="M30" s="15"/>
      <c r="N30" s="15"/>
      <c r="O30" s="15"/>
      <c r="P30" s="15" t="str">
        <f>IF(AND(N30&lt;&gt;"",O30&lt;&gt;""),O30/N30,"")</f>
        <v/>
      </c>
      <c r="Q30" s="15"/>
      <c r="R30" s="15"/>
      <c r="S30" s="15" t="str">
        <f>IF(AND(Q30&lt;&gt;"",R30&lt;&gt;""),R30/Q30,"")</f>
        <v/>
      </c>
      <c r="T30" s="15">
        <f t="shared" ref="T30:U32" si="19">N30-Q30</f>
        <v>0</v>
      </c>
      <c r="U30" s="15">
        <f t="shared" si="19"/>
        <v>0</v>
      </c>
      <c r="V30" s="15" t="e">
        <f>IF(AND(T30&lt;&gt;"",U30&lt;&gt;""),U30/T30,"")</f>
        <v>#DIV/0!</v>
      </c>
    </row>
    <row r="31" spans="1:22" ht="22" customHeight="1" x14ac:dyDescent="0.25">
      <c r="A31" s="14" t="s">
        <v>297</v>
      </c>
      <c r="B31" s="15"/>
      <c r="C31" s="15"/>
      <c r="D31" s="15"/>
      <c r="E31" s="15" t="str">
        <f>IF(AND(C31&lt;&gt;"",D31&lt;&gt;""),D31/C31,"")</f>
        <v/>
      </c>
      <c r="F31" s="15"/>
      <c r="G31" s="15"/>
      <c r="H31" s="15" t="str">
        <f>IF(AND(F31&lt;&gt;"",G31&lt;&gt;""),G31/F31,"")</f>
        <v/>
      </c>
      <c r="I31" s="15">
        <f t="shared" si="18"/>
        <v>0</v>
      </c>
      <c r="J31" s="15">
        <f t="shared" si="18"/>
        <v>0</v>
      </c>
      <c r="K31" s="15" t="e">
        <f>IF(AND(I31&lt;&gt;"",J31&lt;&gt;""),J31/I31,"")</f>
        <v>#DIV/0!</v>
      </c>
      <c r="L31" s="11"/>
      <c r="M31" s="15"/>
      <c r="N31" s="15"/>
      <c r="O31" s="15"/>
      <c r="P31" s="15" t="str">
        <f>IF(AND(N31&lt;&gt;"",O31&lt;&gt;""),O31/N31,"")</f>
        <v/>
      </c>
      <c r="Q31" s="15"/>
      <c r="R31" s="15"/>
      <c r="S31" s="15" t="str">
        <f>IF(AND(Q31&lt;&gt;"",R31&lt;&gt;""),R31/Q31,"")</f>
        <v/>
      </c>
      <c r="T31" s="15">
        <f t="shared" si="19"/>
        <v>0</v>
      </c>
      <c r="U31" s="15">
        <f t="shared" si="19"/>
        <v>0</v>
      </c>
      <c r="V31" s="15" t="e">
        <f>IF(AND(T31&lt;&gt;"",U31&lt;&gt;""),U31/T31,"")</f>
        <v>#DIV/0!</v>
      </c>
    </row>
    <row r="32" spans="1:22" ht="22" customHeight="1" x14ac:dyDescent="0.25">
      <c r="A32" s="14" t="s">
        <v>298</v>
      </c>
      <c r="B32" s="15"/>
      <c r="C32" s="15"/>
      <c r="D32" s="15"/>
      <c r="E32" s="15" t="str">
        <f>IF(AND(C32&lt;&gt;"",D32&lt;&gt;""),D32/C32,"")</f>
        <v/>
      </c>
      <c r="F32" s="15"/>
      <c r="G32" s="15"/>
      <c r="H32" s="15" t="str">
        <f>IF(AND(F32&lt;&gt;"",G32&lt;&gt;""),G32/F32,"")</f>
        <v/>
      </c>
      <c r="I32" s="15">
        <f t="shared" si="18"/>
        <v>0</v>
      </c>
      <c r="J32" s="15">
        <f t="shared" si="18"/>
        <v>0</v>
      </c>
      <c r="K32" s="15" t="e">
        <f>IF(AND(I32&lt;&gt;"",J32&lt;&gt;""),J32/I32,"")</f>
        <v>#DIV/0!</v>
      </c>
      <c r="L32" s="11"/>
      <c r="M32" s="15"/>
      <c r="N32" s="15"/>
      <c r="O32" s="15"/>
      <c r="P32" s="15" t="str">
        <f>IF(AND(N32&lt;&gt;"",O32&lt;&gt;""),O32/N32,"")</f>
        <v/>
      </c>
      <c r="Q32" s="15"/>
      <c r="R32" s="15"/>
      <c r="S32" s="15" t="str">
        <f>IF(AND(Q32&lt;&gt;"",R32&lt;&gt;""),R32/Q32,"")</f>
        <v/>
      </c>
      <c r="T32" s="15">
        <f t="shared" si="19"/>
        <v>0</v>
      </c>
      <c r="U32" s="15">
        <f t="shared" si="19"/>
        <v>0</v>
      </c>
      <c r="V32" s="15" t="e">
        <f>IF(AND(T32&lt;&gt;"",U32&lt;&gt;""),U32/T32,"")</f>
        <v>#DIV/0!</v>
      </c>
    </row>
    <row r="33" spans="1:22" ht="22" customHeight="1" x14ac:dyDescent="0.25">
      <c r="A33" s="13" t="s">
        <v>299</v>
      </c>
      <c r="B33" s="11"/>
      <c r="C33" s="11"/>
      <c r="D33" s="11"/>
      <c r="E33" s="11"/>
      <c r="F33" s="11"/>
      <c r="G33" s="11"/>
      <c r="H33" s="11"/>
      <c r="I33" s="11"/>
      <c r="J33" s="11"/>
      <c r="K33" s="11"/>
      <c r="L33" s="11"/>
      <c r="M33" s="11"/>
      <c r="N33" s="11"/>
      <c r="O33" s="11"/>
      <c r="P33" s="11"/>
      <c r="Q33" s="11"/>
      <c r="R33" s="11"/>
      <c r="S33" s="11"/>
      <c r="T33" s="11"/>
      <c r="U33" s="11"/>
      <c r="V33" s="11"/>
    </row>
    <row r="34" spans="1:22" ht="22" customHeight="1" x14ac:dyDescent="0.25">
      <c r="A34" s="14" t="s">
        <v>300</v>
      </c>
      <c r="B34" s="15"/>
      <c r="C34" s="15"/>
      <c r="D34" s="15"/>
      <c r="E34" s="15" t="str">
        <f t="shared" ref="E34:E39" si="20">IF(AND(C34&lt;&gt;"",D34&lt;&gt;""),D34/C34,"")</f>
        <v/>
      </c>
      <c r="F34" s="15"/>
      <c r="G34" s="15"/>
      <c r="H34" s="15" t="str">
        <f t="shared" ref="H34:H39" si="21">IF(AND(F34&lt;&gt;"",G34&lt;&gt;""),G34/F34,"")</f>
        <v/>
      </c>
      <c r="I34" s="15">
        <f t="shared" ref="I34:J38" si="22">C34-F34</f>
        <v>0</v>
      </c>
      <c r="J34" s="15">
        <f t="shared" si="22"/>
        <v>0</v>
      </c>
      <c r="K34" s="15" t="e">
        <f t="shared" ref="K34:K39" si="23">IF(AND(I34&lt;&gt;"",J34&lt;&gt;""),J34/I34,"")</f>
        <v>#DIV/0!</v>
      </c>
      <c r="L34" s="11"/>
      <c r="M34" s="15"/>
      <c r="N34" s="15"/>
      <c r="O34" s="15"/>
      <c r="P34" s="15" t="str">
        <f t="shared" ref="P34:P39" si="24">IF(AND(N34&lt;&gt;"",O34&lt;&gt;""),O34/N34,"")</f>
        <v/>
      </c>
      <c r="Q34" s="15"/>
      <c r="R34" s="15"/>
      <c r="S34" s="15" t="str">
        <f t="shared" ref="S34:S39" si="25">IF(AND(Q34&lt;&gt;"",R34&lt;&gt;""),R34/Q34,"")</f>
        <v/>
      </c>
      <c r="T34" s="15">
        <f t="shared" ref="T34:U38" si="26">N34-Q34</f>
        <v>0</v>
      </c>
      <c r="U34" s="15">
        <f t="shared" si="26"/>
        <v>0</v>
      </c>
      <c r="V34" s="15" t="e">
        <f t="shared" ref="V34:V39" si="27">IF(AND(T34&lt;&gt;"",U34&lt;&gt;""),U34/T34,"")</f>
        <v>#DIV/0!</v>
      </c>
    </row>
    <row r="35" spans="1:22" ht="22" customHeight="1" x14ac:dyDescent="0.25">
      <c r="A35" s="14" t="s">
        <v>301</v>
      </c>
      <c r="B35" s="15"/>
      <c r="C35" s="15"/>
      <c r="D35" s="15"/>
      <c r="E35" s="15" t="str">
        <f t="shared" si="20"/>
        <v/>
      </c>
      <c r="F35" s="15"/>
      <c r="G35" s="15"/>
      <c r="H35" s="15" t="str">
        <f t="shared" si="21"/>
        <v/>
      </c>
      <c r="I35" s="15">
        <f t="shared" si="22"/>
        <v>0</v>
      </c>
      <c r="J35" s="15">
        <f t="shared" si="22"/>
        <v>0</v>
      </c>
      <c r="K35" s="15" t="e">
        <f t="shared" si="23"/>
        <v>#DIV/0!</v>
      </c>
      <c r="L35" s="11"/>
      <c r="M35" s="15"/>
      <c r="N35" s="15"/>
      <c r="O35" s="15"/>
      <c r="P35" s="15" t="str">
        <f t="shared" si="24"/>
        <v/>
      </c>
      <c r="Q35" s="15"/>
      <c r="R35" s="15"/>
      <c r="S35" s="15" t="str">
        <f t="shared" si="25"/>
        <v/>
      </c>
      <c r="T35" s="15">
        <f t="shared" si="26"/>
        <v>0</v>
      </c>
      <c r="U35" s="15">
        <f t="shared" si="26"/>
        <v>0</v>
      </c>
      <c r="V35" s="15" t="e">
        <f t="shared" si="27"/>
        <v>#DIV/0!</v>
      </c>
    </row>
    <row r="36" spans="1:22" ht="22" customHeight="1" x14ac:dyDescent="0.25">
      <c r="A36" s="14" t="s">
        <v>302</v>
      </c>
      <c r="B36" s="15"/>
      <c r="C36" s="15"/>
      <c r="D36" s="15"/>
      <c r="E36" s="15" t="str">
        <f t="shared" si="20"/>
        <v/>
      </c>
      <c r="F36" s="15"/>
      <c r="G36" s="15"/>
      <c r="H36" s="15" t="str">
        <f t="shared" si="21"/>
        <v/>
      </c>
      <c r="I36" s="15">
        <f t="shared" si="22"/>
        <v>0</v>
      </c>
      <c r="J36" s="15">
        <f t="shared" si="22"/>
        <v>0</v>
      </c>
      <c r="K36" s="15" t="e">
        <f t="shared" si="23"/>
        <v>#DIV/0!</v>
      </c>
      <c r="L36" s="11"/>
      <c r="M36" s="15"/>
      <c r="N36" s="15"/>
      <c r="O36" s="15"/>
      <c r="P36" s="15" t="str">
        <f t="shared" si="24"/>
        <v/>
      </c>
      <c r="Q36" s="15"/>
      <c r="R36" s="15"/>
      <c r="S36" s="15" t="str">
        <f t="shared" si="25"/>
        <v/>
      </c>
      <c r="T36" s="15">
        <f t="shared" si="26"/>
        <v>0</v>
      </c>
      <c r="U36" s="15">
        <f t="shared" si="26"/>
        <v>0</v>
      </c>
      <c r="V36" s="15" t="e">
        <f t="shared" si="27"/>
        <v>#DIV/0!</v>
      </c>
    </row>
    <row r="37" spans="1:22" ht="22" customHeight="1" x14ac:dyDescent="0.25">
      <c r="A37" s="14" t="s">
        <v>303</v>
      </c>
      <c r="B37" s="15"/>
      <c r="C37" s="15"/>
      <c r="D37" s="15"/>
      <c r="E37" s="15" t="str">
        <f t="shared" si="20"/>
        <v/>
      </c>
      <c r="F37" s="15"/>
      <c r="G37" s="15"/>
      <c r="H37" s="15" t="str">
        <f t="shared" si="21"/>
        <v/>
      </c>
      <c r="I37" s="15">
        <f t="shared" si="22"/>
        <v>0</v>
      </c>
      <c r="J37" s="15">
        <f t="shared" si="22"/>
        <v>0</v>
      </c>
      <c r="K37" s="15" t="e">
        <f t="shared" si="23"/>
        <v>#DIV/0!</v>
      </c>
      <c r="L37" s="11"/>
      <c r="M37" s="15"/>
      <c r="N37" s="15"/>
      <c r="O37" s="15"/>
      <c r="P37" s="15" t="str">
        <f t="shared" si="24"/>
        <v/>
      </c>
      <c r="Q37" s="15"/>
      <c r="R37" s="15"/>
      <c r="S37" s="15" t="str">
        <f t="shared" si="25"/>
        <v/>
      </c>
      <c r="T37" s="15">
        <f t="shared" si="26"/>
        <v>0</v>
      </c>
      <c r="U37" s="15">
        <f t="shared" si="26"/>
        <v>0</v>
      </c>
      <c r="V37" s="15" t="e">
        <f t="shared" si="27"/>
        <v>#DIV/0!</v>
      </c>
    </row>
    <row r="38" spans="1:22" ht="22" customHeight="1" x14ac:dyDescent="0.25">
      <c r="A38" s="14" t="s">
        <v>304</v>
      </c>
      <c r="B38" s="15"/>
      <c r="C38" s="15"/>
      <c r="D38" s="15"/>
      <c r="E38" s="15" t="str">
        <f t="shared" si="20"/>
        <v/>
      </c>
      <c r="F38" s="15"/>
      <c r="G38" s="15"/>
      <c r="H38" s="15" t="str">
        <f t="shared" si="21"/>
        <v/>
      </c>
      <c r="I38" s="15">
        <f t="shared" si="22"/>
        <v>0</v>
      </c>
      <c r="J38" s="15">
        <f t="shared" si="22"/>
        <v>0</v>
      </c>
      <c r="K38" s="15" t="e">
        <f t="shared" si="23"/>
        <v>#DIV/0!</v>
      </c>
      <c r="L38" s="11"/>
      <c r="M38" s="15"/>
      <c r="N38" s="15"/>
      <c r="O38" s="15"/>
      <c r="P38" s="15" t="str">
        <f t="shared" si="24"/>
        <v/>
      </c>
      <c r="Q38" s="15"/>
      <c r="R38" s="15"/>
      <c r="S38" s="15" t="str">
        <f t="shared" si="25"/>
        <v/>
      </c>
      <c r="T38" s="15">
        <f t="shared" si="26"/>
        <v>0</v>
      </c>
      <c r="U38" s="15">
        <f t="shared" si="26"/>
        <v>0</v>
      </c>
      <c r="V38" s="15" t="e">
        <f t="shared" si="27"/>
        <v>#DIV/0!</v>
      </c>
    </row>
    <row r="39" spans="1:22" ht="22" customHeight="1" x14ac:dyDescent="0.25">
      <c r="A39" s="16" t="s">
        <v>47</v>
      </c>
      <c r="B39" s="17"/>
      <c r="C39" s="18">
        <f>SUM(C5:C38)</f>
        <v>277</v>
      </c>
      <c r="D39" s="18">
        <f>SUM(D5:D38)</f>
        <v>225</v>
      </c>
      <c r="E39" s="18">
        <f t="shared" si="20"/>
        <v>0.81227436823104693</v>
      </c>
      <c r="F39" s="18">
        <f>SUM(F5:F38)</f>
        <v>64</v>
      </c>
      <c r="G39" s="18">
        <f>SUM(G5:G38)</f>
        <v>53</v>
      </c>
      <c r="H39" s="18">
        <f t="shared" si="21"/>
        <v>0.828125</v>
      </c>
      <c r="I39" s="18">
        <f>SUM(I5:I38)</f>
        <v>213</v>
      </c>
      <c r="J39" s="18">
        <f>SUM(J5:J38)</f>
        <v>172</v>
      </c>
      <c r="K39" s="18">
        <f t="shared" si="23"/>
        <v>0.80751173708920188</v>
      </c>
      <c r="L39" s="17"/>
      <c r="M39" s="17"/>
      <c r="N39" s="18">
        <f>SUM(N5:N38)</f>
        <v>0</v>
      </c>
      <c r="O39" s="18">
        <f>SUM(O5:O38)</f>
        <v>0</v>
      </c>
      <c r="P39" s="18" t="e">
        <f t="shared" si="24"/>
        <v>#DIV/0!</v>
      </c>
      <c r="Q39" s="18">
        <f>SUM(Q5:Q38)</f>
        <v>0</v>
      </c>
      <c r="R39" s="18">
        <f>SUM(R5:R38)</f>
        <v>0</v>
      </c>
      <c r="S39" s="18" t="e">
        <f t="shared" si="25"/>
        <v>#DIV/0!</v>
      </c>
      <c r="T39" s="18">
        <f>SUM(T5:T38)</f>
        <v>0</v>
      </c>
      <c r="U39" s="18">
        <f>SUM(U5:U38)</f>
        <v>0</v>
      </c>
      <c r="V39" s="18" t="e">
        <f t="shared" si="27"/>
        <v>#DIV/0!</v>
      </c>
    </row>
    <row r="40" spans="1:22" ht="22" customHeight="1" x14ac:dyDescent="0.25"/>
    <row r="41" spans="1:22" ht="22" customHeight="1" x14ac:dyDescent="0.25">
      <c r="A41" s="19" t="s">
        <v>48</v>
      </c>
      <c r="B41" s="20"/>
      <c r="C41" s="21">
        <f>C39+N39</f>
        <v>277</v>
      </c>
      <c r="D41" s="21">
        <f>D39+O39</f>
        <v>225</v>
      </c>
      <c r="E41" s="21">
        <f>IF(AND(C41&lt;&gt;"",D41&lt;&gt;""),D41/C41,"")</f>
        <v>0.81227436823104693</v>
      </c>
      <c r="F41" s="21">
        <f>F39+Q39</f>
        <v>64</v>
      </c>
      <c r="G41" s="21">
        <f>G39+R39</f>
        <v>53</v>
      </c>
      <c r="H41" s="21">
        <f>IF(AND(F41&lt;&gt;"",G41&lt;&gt;""),G41/F41,"")</f>
        <v>0.828125</v>
      </c>
      <c r="I41" s="21">
        <f>I39+T39</f>
        <v>213</v>
      </c>
      <c r="J41" s="21">
        <f>J39+U39</f>
        <v>172</v>
      </c>
      <c r="K41" s="21">
        <f>IF(AND(I41&lt;&gt;"",J41&lt;&gt;""),J41/I41,"")</f>
        <v>0.80751173708920188</v>
      </c>
      <c r="L41" s="20"/>
      <c r="M41" s="20"/>
      <c r="N41" s="20"/>
      <c r="O41" s="20"/>
      <c r="P41" s="21" t="str">
        <f>IF(AND(N41&lt;&gt;"",O41&lt;&gt;""),O41/N41,"")</f>
        <v/>
      </c>
      <c r="Q41" s="20"/>
      <c r="R41" s="20"/>
      <c r="S41" s="21" t="str">
        <f>IF(AND(Q41&lt;&gt;"",R41&lt;&gt;""),R41/Q41,"")</f>
        <v/>
      </c>
      <c r="T41" s="20"/>
      <c r="U41" s="20"/>
      <c r="V41" s="21" t="str">
        <f>IF(AND(T41&lt;&gt;"",U41&lt;&gt;""),U41/T41,"")</f>
        <v/>
      </c>
    </row>
  </sheetData>
  <mergeCells count="3">
    <mergeCell ref="A1:V1"/>
    <mergeCell ref="M3:V3"/>
    <mergeCell ref="A3:K3"/>
  </mergeCells>
  <phoneticPr fontId="1" type="noConversion"/>
  <conditionalFormatting sqref="E6:E7">
    <cfRule type="cellIs" dxfId="155" priority="1" operator="greaterThanOrEqual">
      <formula>0.9</formula>
    </cfRule>
    <cfRule type="cellIs" dxfId="154" priority="2" operator="between">
      <formula>0.8</formula>
      <formula>0.9</formula>
    </cfRule>
    <cfRule type="cellIs" dxfId="153" priority="3" operator="lessThan">
      <formula>0.8</formula>
    </cfRule>
  </conditionalFormatting>
  <conditionalFormatting sqref="E9:E11">
    <cfRule type="cellIs" dxfId="152" priority="19" operator="greaterThanOrEqual">
      <formula>0.9</formula>
    </cfRule>
    <cfRule type="cellIs" dxfId="151" priority="20" operator="between">
      <formula>0.8</formula>
      <formula>0.9</formula>
    </cfRule>
    <cfRule type="cellIs" dxfId="150" priority="21" operator="lessThan">
      <formula>0.8</formula>
    </cfRule>
  </conditionalFormatting>
  <conditionalFormatting sqref="E13:E20">
    <cfRule type="cellIs" dxfId="149" priority="38" operator="between">
      <formula>0.8</formula>
      <formula>0.9</formula>
    </cfRule>
    <cfRule type="cellIs" dxfId="148" priority="39" operator="lessThan">
      <formula>0.8</formula>
    </cfRule>
    <cfRule type="cellIs" dxfId="147" priority="37" operator="greaterThanOrEqual">
      <formula>0.9</formula>
    </cfRule>
  </conditionalFormatting>
  <conditionalFormatting sqref="E22:E28">
    <cfRule type="cellIs" dxfId="146" priority="55" operator="greaterThanOrEqual">
      <formula>0.9</formula>
    </cfRule>
    <cfRule type="cellIs" dxfId="145" priority="56" operator="between">
      <formula>0.8</formula>
      <formula>0.9</formula>
    </cfRule>
    <cfRule type="cellIs" dxfId="144" priority="57" operator="lessThan">
      <formula>0.8</formula>
    </cfRule>
  </conditionalFormatting>
  <conditionalFormatting sqref="E30:E32">
    <cfRule type="cellIs" dxfId="143" priority="73" operator="greaterThanOrEqual">
      <formula>0.9</formula>
    </cfRule>
    <cfRule type="cellIs" dxfId="142" priority="74" operator="between">
      <formula>0.8</formula>
      <formula>0.9</formula>
    </cfRule>
    <cfRule type="cellIs" dxfId="141" priority="75" operator="lessThan">
      <formula>0.8</formula>
    </cfRule>
  </conditionalFormatting>
  <conditionalFormatting sqref="E34:E39">
    <cfRule type="cellIs" dxfId="140" priority="92" operator="between">
      <formula>0.8</formula>
      <formula>0.9</formula>
    </cfRule>
    <cfRule type="cellIs" dxfId="139" priority="91" operator="greaterThanOrEqual">
      <formula>0.9</formula>
    </cfRule>
    <cfRule type="cellIs" dxfId="138" priority="93" operator="lessThan">
      <formula>0.8</formula>
    </cfRule>
  </conditionalFormatting>
  <conditionalFormatting sqref="E41">
    <cfRule type="cellIs" dxfId="137" priority="129" operator="lessThan">
      <formula>0.8</formula>
    </cfRule>
    <cfRule type="cellIs" dxfId="136" priority="127" operator="greaterThanOrEqual">
      <formula>0.9</formula>
    </cfRule>
    <cfRule type="cellIs" dxfId="135" priority="128" operator="between">
      <formula>0.8</formula>
      <formula>0.9</formula>
    </cfRule>
  </conditionalFormatting>
  <conditionalFormatting sqref="H6:H7">
    <cfRule type="cellIs" dxfId="134" priority="4" operator="greaterThanOrEqual">
      <formula>0.9</formula>
    </cfRule>
    <cfRule type="cellIs" dxfId="133" priority="5" operator="between">
      <formula>0.8</formula>
      <formula>0.9</formula>
    </cfRule>
    <cfRule type="cellIs" dxfId="132" priority="6" operator="lessThan">
      <formula>0.8</formula>
    </cfRule>
  </conditionalFormatting>
  <conditionalFormatting sqref="H9:H11">
    <cfRule type="cellIs" dxfId="131" priority="22" operator="greaterThanOrEqual">
      <formula>0.9</formula>
    </cfRule>
    <cfRule type="cellIs" dxfId="130" priority="23" operator="between">
      <formula>0.8</formula>
      <formula>0.9</formula>
    </cfRule>
    <cfRule type="cellIs" dxfId="129" priority="24" operator="lessThan">
      <formula>0.8</formula>
    </cfRule>
  </conditionalFormatting>
  <conditionalFormatting sqref="H13:H20">
    <cfRule type="cellIs" dxfId="128" priority="40" operator="greaterThanOrEqual">
      <formula>0.9</formula>
    </cfRule>
    <cfRule type="cellIs" dxfId="127" priority="41" operator="between">
      <formula>0.8</formula>
      <formula>0.9</formula>
    </cfRule>
    <cfRule type="cellIs" dxfId="126" priority="42" operator="lessThan">
      <formula>0.8</formula>
    </cfRule>
  </conditionalFormatting>
  <conditionalFormatting sqref="H22:H28">
    <cfRule type="cellIs" dxfId="125" priority="60" operator="lessThan">
      <formula>0.8</formula>
    </cfRule>
    <cfRule type="cellIs" dxfId="124" priority="59" operator="between">
      <formula>0.8</formula>
      <formula>0.9</formula>
    </cfRule>
    <cfRule type="cellIs" dxfId="123" priority="58" operator="greaterThanOrEqual">
      <formula>0.9</formula>
    </cfRule>
  </conditionalFormatting>
  <conditionalFormatting sqref="H30:H32">
    <cfRule type="cellIs" dxfId="122" priority="78" operator="lessThan">
      <formula>0.8</formula>
    </cfRule>
    <cfRule type="cellIs" dxfId="121" priority="76" operator="greaterThanOrEqual">
      <formula>0.9</formula>
    </cfRule>
    <cfRule type="cellIs" dxfId="120" priority="77" operator="between">
      <formula>0.8</formula>
      <formula>0.9</formula>
    </cfRule>
  </conditionalFormatting>
  <conditionalFormatting sqref="H34:H39">
    <cfRule type="cellIs" dxfId="119" priority="94" operator="greaterThanOrEqual">
      <formula>0.9</formula>
    </cfRule>
    <cfRule type="cellIs" dxfId="118" priority="95" operator="between">
      <formula>0.8</formula>
      <formula>0.9</formula>
    </cfRule>
    <cfRule type="cellIs" dxfId="117" priority="96" operator="lessThan">
      <formula>0.8</formula>
    </cfRule>
  </conditionalFormatting>
  <conditionalFormatting sqref="H41">
    <cfRule type="cellIs" dxfId="116" priority="130" operator="greaterThanOrEqual">
      <formula>0.9</formula>
    </cfRule>
    <cfRule type="cellIs" dxfId="115" priority="131" operator="between">
      <formula>0.8</formula>
      <formula>0.9</formula>
    </cfRule>
    <cfRule type="cellIs" dxfId="114" priority="132" operator="lessThan">
      <formula>0.8</formula>
    </cfRule>
  </conditionalFormatting>
  <conditionalFormatting sqref="K6:K7">
    <cfRule type="cellIs" dxfId="113" priority="9" operator="lessThan">
      <formula>0.8</formula>
    </cfRule>
    <cfRule type="cellIs" dxfId="112" priority="8" operator="between">
      <formula>0.8</formula>
      <formula>0.9</formula>
    </cfRule>
    <cfRule type="cellIs" dxfId="111" priority="7" operator="greaterThanOrEqual">
      <formula>0.9</formula>
    </cfRule>
  </conditionalFormatting>
  <conditionalFormatting sqref="K9:K11">
    <cfRule type="cellIs" dxfId="110" priority="27" operator="lessThan">
      <formula>0.8</formula>
    </cfRule>
    <cfRule type="cellIs" dxfId="109" priority="25" operator="greaterThanOrEqual">
      <formula>0.9</formula>
    </cfRule>
    <cfRule type="cellIs" dxfId="108" priority="26" operator="between">
      <formula>0.8</formula>
      <formula>0.9</formula>
    </cfRule>
  </conditionalFormatting>
  <conditionalFormatting sqref="K13:K20">
    <cfRule type="cellIs" dxfId="107" priority="44" operator="between">
      <formula>0.8</formula>
      <formula>0.9</formula>
    </cfRule>
    <cfRule type="cellIs" dxfId="106" priority="45" operator="lessThan">
      <formula>0.8</formula>
    </cfRule>
    <cfRule type="cellIs" dxfId="105" priority="43" operator="greaterThanOrEqual">
      <formula>0.9</formula>
    </cfRule>
  </conditionalFormatting>
  <conditionalFormatting sqref="K22:K28">
    <cfRule type="cellIs" dxfId="104" priority="62" operator="between">
      <formula>0.8</formula>
      <formula>0.9</formula>
    </cfRule>
    <cfRule type="cellIs" dxfId="103" priority="63" operator="lessThan">
      <formula>0.8</formula>
    </cfRule>
    <cfRule type="cellIs" dxfId="102" priority="61" operator="greaterThanOrEqual">
      <formula>0.9</formula>
    </cfRule>
  </conditionalFormatting>
  <conditionalFormatting sqref="K30:K32">
    <cfRule type="cellIs" dxfId="101" priority="79" operator="greaterThanOrEqual">
      <formula>0.9</formula>
    </cfRule>
    <cfRule type="cellIs" dxfId="100" priority="80" operator="between">
      <formula>0.8</formula>
      <formula>0.9</formula>
    </cfRule>
    <cfRule type="cellIs" dxfId="99" priority="81" operator="lessThan">
      <formula>0.8</formula>
    </cfRule>
  </conditionalFormatting>
  <conditionalFormatting sqref="K34:K39">
    <cfRule type="cellIs" dxfId="98" priority="97" operator="greaterThanOrEqual">
      <formula>0.9</formula>
    </cfRule>
    <cfRule type="cellIs" dxfId="97" priority="98" operator="between">
      <formula>0.8</formula>
      <formula>0.9</formula>
    </cfRule>
    <cfRule type="cellIs" dxfId="96" priority="99" operator="lessThan">
      <formula>0.8</formula>
    </cfRule>
  </conditionalFormatting>
  <conditionalFormatting sqref="K41">
    <cfRule type="cellIs" dxfId="95" priority="133" operator="greaterThanOrEqual">
      <formula>0.9</formula>
    </cfRule>
    <cfRule type="cellIs" dxfId="94" priority="134" operator="between">
      <formula>0.8</formula>
      <formula>0.9</formula>
    </cfRule>
    <cfRule type="cellIs" dxfId="93" priority="135" operator="lessThan">
      <formula>0.8</formula>
    </cfRule>
  </conditionalFormatting>
  <conditionalFormatting sqref="P6:P7">
    <cfRule type="cellIs" dxfId="92" priority="10" operator="greaterThanOrEqual">
      <formula>0.9</formula>
    </cfRule>
    <cfRule type="cellIs" dxfId="91" priority="12" operator="lessThan">
      <formula>0.8</formula>
    </cfRule>
    <cfRule type="cellIs" dxfId="90" priority="11" operator="between">
      <formula>0.8</formula>
      <formula>0.9</formula>
    </cfRule>
  </conditionalFormatting>
  <conditionalFormatting sqref="P9:P11">
    <cfRule type="cellIs" dxfId="89" priority="28" operator="greaterThanOrEqual">
      <formula>0.9</formula>
    </cfRule>
    <cfRule type="cellIs" dxfId="88" priority="30" operator="lessThan">
      <formula>0.8</formula>
    </cfRule>
    <cfRule type="cellIs" dxfId="87" priority="29" operator="between">
      <formula>0.8</formula>
      <formula>0.9</formula>
    </cfRule>
  </conditionalFormatting>
  <conditionalFormatting sqref="P13:P20">
    <cfRule type="cellIs" dxfId="86" priority="46" operator="greaterThanOrEqual">
      <formula>0.9</formula>
    </cfRule>
    <cfRule type="cellIs" dxfId="85" priority="47" operator="between">
      <formula>0.8</formula>
      <formula>0.9</formula>
    </cfRule>
    <cfRule type="cellIs" dxfId="84" priority="48" operator="lessThan">
      <formula>0.8</formula>
    </cfRule>
  </conditionalFormatting>
  <conditionalFormatting sqref="P22:P28">
    <cfRule type="cellIs" dxfId="83" priority="64" operator="greaterThanOrEqual">
      <formula>0.9</formula>
    </cfRule>
    <cfRule type="cellIs" dxfId="82" priority="65" operator="between">
      <formula>0.8</formula>
      <formula>0.9</formula>
    </cfRule>
    <cfRule type="cellIs" dxfId="81" priority="66" operator="lessThan">
      <formula>0.8</formula>
    </cfRule>
  </conditionalFormatting>
  <conditionalFormatting sqref="P30:P32">
    <cfRule type="cellIs" dxfId="80" priority="82" operator="greaterThanOrEqual">
      <formula>0.9</formula>
    </cfRule>
    <cfRule type="cellIs" dxfId="79" priority="83" operator="between">
      <formula>0.8</formula>
      <formula>0.9</formula>
    </cfRule>
    <cfRule type="cellIs" dxfId="78" priority="84" operator="lessThan">
      <formula>0.8</formula>
    </cfRule>
  </conditionalFormatting>
  <conditionalFormatting sqref="P34:P39">
    <cfRule type="cellIs" dxfId="77" priority="102" operator="lessThan">
      <formula>0.8</formula>
    </cfRule>
    <cfRule type="cellIs" dxfId="76" priority="100" operator="greaterThanOrEqual">
      <formula>0.9</formula>
    </cfRule>
    <cfRule type="cellIs" dxfId="75" priority="101" operator="between">
      <formula>0.8</formula>
      <formula>0.9</formula>
    </cfRule>
  </conditionalFormatting>
  <conditionalFormatting sqref="P41">
    <cfRule type="cellIs" dxfId="74" priority="138" operator="lessThan">
      <formula>0.8</formula>
    </cfRule>
    <cfRule type="cellIs" dxfId="73" priority="136" operator="greaterThanOrEqual">
      <formula>0.9</formula>
    </cfRule>
    <cfRule type="cellIs" dxfId="72" priority="137" operator="between">
      <formula>0.8</formula>
      <formula>0.9</formula>
    </cfRule>
  </conditionalFormatting>
  <conditionalFormatting sqref="S6:S7">
    <cfRule type="cellIs" dxfId="71" priority="15" operator="lessThan">
      <formula>0.8</formula>
    </cfRule>
    <cfRule type="cellIs" dxfId="70" priority="14" operator="between">
      <formula>0.8</formula>
      <formula>0.9</formula>
    </cfRule>
    <cfRule type="cellIs" dxfId="69" priority="13" operator="greaterThanOrEqual">
      <formula>0.9</formula>
    </cfRule>
  </conditionalFormatting>
  <conditionalFormatting sqref="S9:S11">
    <cfRule type="cellIs" dxfId="68" priority="33" operator="lessThan">
      <formula>0.8</formula>
    </cfRule>
    <cfRule type="cellIs" dxfId="67" priority="32" operator="between">
      <formula>0.8</formula>
      <formula>0.9</formula>
    </cfRule>
    <cfRule type="cellIs" dxfId="66" priority="31" operator="greaterThanOrEqual">
      <formula>0.9</formula>
    </cfRule>
  </conditionalFormatting>
  <conditionalFormatting sqref="S13:S20">
    <cfRule type="cellIs" dxfId="65" priority="50" operator="between">
      <formula>0.8</formula>
      <formula>0.9</formula>
    </cfRule>
    <cfRule type="cellIs" dxfId="64" priority="49" operator="greaterThanOrEqual">
      <formula>0.9</formula>
    </cfRule>
    <cfRule type="cellIs" dxfId="63" priority="51" operator="lessThan">
      <formula>0.8</formula>
    </cfRule>
  </conditionalFormatting>
  <conditionalFormatting sqref="S22:S28">
    <cfRule type="cellIs" dxfId="62" priority="69" operator="lessThan">
      <formula>0.8</formula>
    </cfRule>
    <cfRule type="cellIs" dxfId="61" priority="68" operator="between">
      <formula>0.8</formula>
      <formula>0.9</formula>
    </cfRule>
    <cfRule type="cellIs" dxfId="60" priority="67" operator="greaterThanOrEqual">
      <formula>0.9</formula>
    </cfRule>
  </conditionalFormatting>
  <conditionalFormatting sqref="S30:S32">
    <cfRule type="cellIs" dxfId="59" priority="85" operator="greaterThanOrEqual">
      <formula>0.9</formula>
    </cfRule>
    <cfRule type="cellIs" dxfId="58" priority="86" operator="between">
      <formula>0.8</formula>
      <formula>0.9</formula>
    </cfRule>
    <cfRule type="cellIs" dxfId="57" priority="87" operator="lessThan">
      <formula>0.8</formula>
    </cfRule>
  </conditionalFormatting>
  <conditionalFormatting sqref="S34:S39">
    <cfRule type="cellIs" dxfId="56" priority="105" operator="lessThan">
      <formula>0.8</formula>
    </cfRule>
    <cfRule type="cellIs" dxfId="55" priority="104" operator="between">
      <formula>0.8</formula>
      <formula>0.9</formula>
    </cfRule>
    <cfRule type="cellIs" dxfId="54" priority="103" operator="greaterThanOrEqual">
      <formula>0.9</formula>
    </cfRule>
  </conditionalFormatting>
  <conditionalFormatting sqref="S41">
    <cfRule type="cellIs" dxfId="53" priority="139" operator="greaterThanOrEqual">
      <formula>0.9</formula>
    </cfRule>
    <cfRule type="cellIs" dxfId="52" priority="140" operator="between">
      <formula>0.8</formula>
      <formula>0.9</formula>
    </cfRule>
    <cfRule type="cellIs" dxfId="51" priority="141" operator="lessThan">
      <formula>0.8</formula>
    </cfRule>
  </conditionalFormatting>
  <conditionalFormatting sqref="V6:V7">
    <cfRule type="cellIs" dxfId="50" priority="18" operator="lessThan">
      <formula>0.8</formula>
    </cfRule>
    <cfRule type="cellIs" dxfId="49" priority="17" operator="between">
      <formula>0.8</formula>
      <formula>0.9</formula>
    </cfRule>
    <cfRule type="cellIs" dxfId="48" priority="16" operator="greaterThanOrEqual">
      <formula>0.9</formula>
    </cfRule>
  </conditionalFormatting>
  <conditionalFormatting sqref="V9:V11">
    <cfRule type="cellIs" dxfId="47" priority="35" operator="between">
      <formula>0.8</formula>
      <formula>0.9</formula>
    </cfRule>
    <cfRule type="cellIs" dxfId="46" priority="36" operator="lessThan">
      <formula>0.8</formula>
    </cfRule>
    <cfRule type="cellIs" dxfId="45" priority="34" operator="greaterThanOrEqual">
      <formula>0.9</formula>
    </cfRule>
  </conditionalFormatting>
  <conditionalFormatting sqref="V13:V20">
    <cfRule type="cellIs" dxfId="44" priority="54" operator="lessThan">
      <formula>0.8</formula>
    </cfRule>
    <cfRule type="cellIs" dxfId="43" priority="53" operator="between">
      <formula>0.8</formula>
      <formula>0.9</formula>
    </cfRule>
    <cfRule type="cellIs" dxfId="42" priority="52" operator="greaterThanOrEqual">
      <formula>0.9</formula>
    </cfRule>
  </conditionalFormatting>
  <conditionalFormatting sqref="V22:V28">
    <cfRule type="cellIs" dxfId="41" priority="70" operator="greaterThanOrEqual">
      <formula>0.9</formula>
    </cfRule>
    <cfRule type="cellIs" dxfId="40" priority="71" operator="between">
      <formula>0.8</formula>
      <formula>0.9</formula>
    </cfRule>
    <cfRule type="cellIs" dxfId="39" priority="72" operator="lessThan">
      <formula>0.8</formula>
    </cfRule>
  </conditionalFormatting>
  <conditionalFormatting sqref="V30:V32">
    <cfRule type="cellIs" dxfId="38" priority="90" operator="lessThan">
      <formula>0.8</formula>
    </cfRule>
    <cfRule type="cellIs" dxfId="37" priority="89" operator="between">
      <formula>0.8</formula>
      <formula>0.9</formula>
    </cfRule>
    <cfRule type="cellIs" dxfId="36" priority="88" operator="greaterThanOrEqual">
      <formula>0.9</formula>
    </cfRule>
  </conditionalFormatting>
  <conditionalFormatting sqref="V34:V39">
    <cfRule type="cellIs" dxfId="35" priority="106" operator="greaterThanOrEqual">
      <formula>0.9</formula>
    </cfRule>
    <cfRule type="cellIs" dxfId="34" priority="107" operator="between">
      <formula>0.8</formula>
      <formula>0.9</formula>
    </cfRule>
    <cfRule type="cellIs" dxfId="33" priority="108" operator="lessThan">
      <formula>0.8</formula>
    </cfRule>
  </conditionalFormatting>
  <conditionalFormatting sqref="V41">
    <cfRule type="cellIs" dxfId="32" priority="142" operator="greaterThanOrEqual">
      <formula>0.9</formula>
    </cfRule>
    <cfRule type="cellIs" dxfId="31" priority="143" operator="between">
      <formula>0.8</formula>
      <formula>0.9</formula>
    </cfRule>
    <cfRule type="cellIs" dxfId="30" priority="144" operator="lessThan">
      <formula>0.8</formula>
    </cfRule>
  </conditionalFormatting>
  <pageMargins left="0.75" right="0.75" top="1" bottom="1" header="0.5" footer="0.5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>
    <tabColor theme="6" tint="0.39997558519241921"/>
  </sheetPr>
  <dimension ref="A1:X23"/>
  <sheetViews>
    <sheetView workbookViewId="0">
      <selection activeCell="J10" sqref="J10"/>
    </sheetView>
  </sheetViews>
  <sheetFormatPr defaultRowHeight="14" x14ac:dyDescent="0.25"/>
  <cols>
    <col min="1" max="1" width="8" customWidth="1"/>
    <col min="2" max="3" width="10" customWidth="1"/>
    <col min="4" max="6" width="8" customWidth="1"/>
    <col min="7" max="8" width="10" customWidth="1"/>
    <col min="9" max="11" width="8" customWidth="1"/>
    <col min="12" max="13" width="10" customWidth="1"/>
    <col min="14" max="16" width="8" customWidth="1"/>
    <col min="17" max="18" width="10" customWidth="1"/>
    <col min="19" max="24" width="8" customWidth="1"/>
  </cols>
  <sheetData>
    <row r="1" spans="1:24" ht="30" customHeight="1" x14ac:dyDescent="0.25">
      <c r="A1" s="54" t="s">
        <v>0</v>
      </c>
      <c r="B1" s="55"/>
      <c r="C1" s="55"/>
      <c r="D1" s="55"/>
      <c r="E1" s="55"/>
      <c r="F1" s="55"/>
      <c r="G1" s="55"/>
      <c r="H1" s="55"/>
      <c r="I1" s="55"/>
      <c r="J1" s="55"/>
      <c r="K1" s="55"/>
      <c r="L1" s="55"/>
      <c r="M1" s="55"/>
      <c r="N1" s="55"/>
      <c r="O1" s="55"/>
      <c r="P1" s="55"/>
      <c r="Q1" s="55"/>
      <c r="R1" s="55"/>
      <c r="S1" s="55"/>
      <c r="T1" s="55"/>
      <c r="U1" s="55"/>
      <c r="V1" s="55"/>
      <c r="W1" s="55"/>
      <c r="X1" s="55"/>
    </row>
    <row r="2" spans="1:24" ht="6" customHeight="1" x14ac:dyDescent="0.25"/>
    <row r="3" spans="1:24" ht="22" customHeight="1" x14ac:dyDescent="0.25">
      <c r="A3" s="45"/>
      <c r="B3" s="57" t="s">
        <v>1</v>
      </c>
      <c r="C3" s="55"/>
      <c r="D3" s="55"/>
      <c r="E3" s="55"/>
      <c r="F3" s="55"/>
      <c r="G3" s="57" t="s">
        <v>2</v>
      </c>
      <c r="H3" s="55"/>
      <c r="I3" s="55"/>
      <c r="J3" s="55"/>
      <c r="K3" s="55"/>
      <c r="L3" s="57" t="s">
        <v>3</v>
      </c>
      <c r="M3" s="55"/>
      <c r="N3" s="55"/>
      <c r="O3" s="55"/>
      <c r="P3" s="55"/>
      <c r="Q3" s="57" t="s">
        <v>4</v>
      </c>
      <c r="R3" s="55"/>
      <c r="S3" s="55"/>
      <c r="T3" s="55"/>
      <c r="U3" s="55"/>
      <c r="V3" s="56" t="s">
        <v>5</v>
      </c>
      <c r="W3" s="55"/>
      <c r="X3" s="55"/>
    </row>
    <row r="4" spans="1:24" ht="22" customHeight="1" x14ac:dyDescent="0.25">
      <c r="A4" s="47" t="s">
        <v>6</v>
      </c>
      <c r="B4" s="47" t="s">
        <v>7</v>
      </c>
      <c r="C4" s="47" t="s">
        <v>8</v>
      </c>
      <c r="D4" s="47" t="s">
        <v>9</v>
      </c>
      <c r="E4" s="47" t="s">
        <v>10</v>
      </c>
      <c r="F4" s="47" t="s">
        <v>11</v>
      </c>
      <c r="G4" s="47" t="s">
        <v>7</v>
      </c>
      <c r="H4" s="47" t="s">
        <v>8</v>
      </c>
      <c r="I4" s="47" t="s">
        <v>9</v>
      </c>
      <c r="J4" s="47" t="s">
        <v>10</v>
      </c>
      <c r="K4" s="47" t="s">
        <v>11</v>
      </c>
      <c r="L4" s="47" t="s">
        <v>7</v>
      </c>
      <c r="M4" s="47" t="s">
        <v>8</v>
      </c>
      <c r="N4" s="47" t="s">
        <v>9</v>
      </c>
      <c r="O4" s="47" t="s">
        <v>10</v>
      </c>
      <c r="P4" s="47" t="s">
        <v>11</v>
      </c>
      <c r="Q4" s="47" t="s">
        <v>7</v>
      </c>
      <c r="R4" s="47" t="s">
        <v>8</v>
      </c>
      <c r="S4" s="47" t="s">
        <v>9</v>
      </c>
      <c r="T4" s="47" t="s">
        <v>10</v>
      </c>
      <c r="U4" s="47" t="s">
        <v>11</v>
      </c>
      <c r="V4" s="47" t="s">
        <v>9</v>
      </c>
      <c r="W4" s="47" t="s">
        <v>10</v>
      </c>
      <c r="X4" s="47" t="s">
        <v>11</v>
      </c>
    </row>
    <row r="5" spans="1:24" ht="22" customHeight="1" x14ac:dyDescent="0.25">
      <c r="A5" s="48" t="s">
        <v>12</v>
      </c>
      <c r="B5" s="48" t="s">
        <v>13</v>
      </c>
      <c r="C5" s="48">
        <v>16</v>
      </c>
      <c r="D5" s="48">
        <v>5</v>
      </c>
      <c r="E5" s="48"/>
      <c r="F5" s="48" t="str">
        <f t="shared" ref="F5:F21" si="0">IF(AND(D5&lt;&gt;"",E5&lt;&gt;""),E5/D5,"")</f>
        <v/>
      </c>
      <c r="G5" s="48" t="s">
        <v>14</v>
      </c>
      <c r="H5" s="48">
        <v>24</v>
      </c>
      <c r="I5" s="48">
        <v>5</v>
      </c>
      <c r="J5" s="48"/>
      <c r="K5" s="48" t="str">
        <f t="shared" ref="K5:K21" si="1">IF(AND(I5&lt;&gt;"",J5&lt;&gt;""),J5/I5,"")</f>
        <v/>
      </c>
      <c r="L5" s="48" t="s">
        <v>15</v>
      </c>
      <c r="M5" s="48">
        <v>17</v>
      </c>
      <c r="N5" s="48">
        <v>5</v>
      </c>
      <c r="O5" s="48"/>
      <c r="P5" s="48" t="str">
        <f t="shared" ref="P5:P21" si="2">IF(AND(N5&lt;&gt;"",O5&lt;&gt;""),O5/N5,"")</f>
        <v/>
      </c>
      <c r="Q5" s="48" t="s">
        <v>16</v>
      </c>
      <c r="R5" s="48">
        <v>24</v>
      </c>
      <c r="S5" s="48">
        <v>5</v>
      </c>
      <c r="T5" s="48"/>
      <c r="U5" s="48" t="str">
        <f t="shared" ref="U5:U21" si="3">IF(AND(S5&lt;&gt;"",T5&lt;&gt;""),T5/S5,"")</f>
        <v/>
      </c>
      <c r="V5" s="48">
        <f t="shared" ref="V5:V20" si="4">D5+I5+N5+S5</f>
        <v>20</v>
      </c>
      <c r="W5" s="48">
        <f t="shared" ref="W5:W20" si="5">E5+J5+O5+T5</f>
        <v>0</v>
      </c>
      <c r="X5" s="48">
        <f t="shared" ref="X5:X21" si="6">IF(AND(V5&lt;&gt;"",W5&lt;&gt;""),W5/V5,"")</f>
        <v>0</v>
      </c>
    </row>
    <row r="6" spans="1:24" ht="22" customHeight="1" x14ac:dyDescent="0.25">
      <c r="A6" s="48" t="s">
        <v>17</v>
      </c>
      <c r="B6" s="48" t="s">
        <v>18</v>
      </c>
      <c r="C6" s="48">
        <v>19</v>
      </c>
      <c r="D6" s="48">
        <v>5</v>
      </c>
      <c r="E6" s="48"/>
      <c r="F6" s="48" t="str">
        <f t="shared" si="0"/>
        <v/>
      </c>
      <c r="G6" s="48" t="s">
        <v>19</v>
      </c>
      <c r="H6" s="48">
        <v>22</v>
      </c>
      <c r="I6" s="48">
        <v>5</v>
      </c>
      <c r="J6" s="48"/>
      <c r="K6" s="48" t="str">
        <f t="shared" si="1"/>
        <v/>
      </c>
      <c r="L6" s="48" t="s">
        <v>20</v>
      </c>
      <c r="M6" s="48">
        <v>21</v>
      </c>
      <c r="N6" s="48">
        <v>5</v>
      </c>
      <c r="O6" s="48"/>
      <c r="P6" s="48" t="str">
        <f t="shared" si="2"/>
        <v/>
      </c>
      <c r="Q6" s="48" t="s">
        <v>21</v>
      </c>
      <c r="R6" s="48">
        <v>24</v>
      </c>
      <c r="S6" s="48">
        <v>5</v>
      </c>
      <c r="T6" s="48"/>
      <c r="U6" s="48" t="str">
        <f t="shared" si="3"/>
        <v/>
      </c>
      <c r="V6" s="48">
        <f t="shared" si="4"/>
        <v>20</v>
      </c>
      <c r="W6" s="48">
        <f t="shared" si="5"/>
        <v>0</v>
      </c>
      <c r="X6" s="48">
        <f t="shared" si="6"/>
        <v>0</v>
      </c>
    </row>
    <row r="7" spans="1:24" ht="22" customHeight="1" x14ac:dyDescent="0.25">
      <c r="A7" s="48" t="s">
        <v>22</v>
      </c>
      <c r="B7" s="48" t="s">
        <v>23</v>
      </c>
      <c r="C7" s="48">
        <v>20</v>
      </c>
      <c r="D7" s="48">
        <v>5</v>
      </c>
      <c r="E7" s="48"/>
      <c r="F7" s="48" t="str">
        <f t="shared" si="0"/>
        <v/>
      </c>
      <c r="G7" s="48" t="s">
        <v>24</v>
      </c>
      <c r="H7" s="48">
        <v>25</v>
      </c>
      <c r="I7" s="48">
        <v>5</v>
      </c>
      <c r="J7" s="48"/>
      <c r="K7" s="48" t="str">
        <f t="shared" si="1"/>
        <v/>
      </c>
      <c r="L7" s="48" t="s">
        <v>25</v>
      </c>
      <c r="M7" s="48">
        <v>18</v>
      </c>
      <c r="N7" s="48">
        <v>5</v>
      </c>
      <c r="O7" s="48"/>
      <c r="P7" s="48" t="str">
        <f t="shared" si="2"/>
        <v/>
      </c>
      <c r="Q7" s="48" t="s">
        <v>26</v>
      </c>
      <c r="R7" s="48">
        <v>25</v>
      </c>
      <c r="S7" s="48">
        <v>5</v>
      </c>
      <c r="T7" s="48"/>
      <c r="U7" s="48" t="str">
        <f t="shared" si="3"/>
        <v/>
      </c>
      <c r="V7" s="48">
        <f t="shared" si="4"/>
        <v>20</v>
      </c>
      <c r="W7" s="48">
        <f t="shared" si="5"/>
        <v>0</v>
      </c>
      <c r="X7" s="48">
        <f t="shared" si="6"/>
        <v>0</v>
      </c>
    </row>
    <row r="8" spans="1:24" ht="22" customHeight="1" x14ac:dyDescent="0.25">
      <c r="A8" s="48" t="s">
        <v>27</v>
      </c>
      <c r="B8" s="48" t="s">
        <v>28</v>
      </c>
      <c r="C8" s="48">
        <v>20</v>
      </c>
      <c r="D8" s="48">
        <v>5</v>
      </c>
      <c r="E8" s="48">
        <v>1</v>
      </c>
      <c r="F8" s="48">
        <f t="shared" si="0"/>
        <v>0.2</v>
      </c>
      <c r="G8" s="48" t="s">
        <v>29</v>
      </c>
      <c r="H8" s="48">
        <v>17</v>
      </c>
      <c r="I8" s="48">
        <v>5</v>
      </c>
      <c r="J8" s="48">
        <v>4</v>
      </c>
      <c r="K8" s="48">
        <f t="shared" si="1"/>
        <v>0.8</v>
      </c>
      <c r="L8" s="48" t="s">
        <v>30</v>
      </c>
      <c r="M8" s="48">
        <v>20</v>
      </c>
      <c r="N8" s="48">
        <v>5</v>
      </c>
      <c r="O8" s="48">
        <v>4</v>
      </c>
      <c r="P8" s="48">
        <f t="shared" si="2"/>
        <v>0.8</v>
      </c>
      <c r="Q8" s="48" t="s">
        <v>31</v>
      </c>
      <c r="R8" s="48">
        <v>22</v>
      </c>
      <c r="S8" s="48">
        <v>5</v>
      </c>
      <c r="T8" s="48">
        <v>2</v>
      </c>
      <c r="U8" s="48">
        <f t="shared" si="3"/>
        <v>0.4</v>
      </c>
      <c r="V8" s="48">
        <f t="shared" si="4"/>
        <v>20</v>
      </c>
      <c r="W8" s="48">
        <f t="shared" si="5"/>
        <v>11</v>
      </c>
      <c r="X8" s="48">
        <f t="shared" si="6"/>
        <v>0.55000000000000004</v>
      </c>
    </row>
    <row r="9" spans="1:24" ht="22" customHeight="1" x14ac:dyDescent="0.25">
      <c r="A9" s="48" t="s">
        <v>32</v>
      </c>
      <c r="B9" s="48" t="s">
        <v>33</v>
      </c>
      <c r="C9" s="48">
        <v>21</v>
      </c>
      <c r="D9" s="48">
        <v>5</v>
      </c>
      <c r="E9" s="48">
        <v>1</v>
      </c>
      <c r="F9" s="48">
        <f t="shared" si="0"/>
        <v>0.2</v>
      </c>
      <c r="G9" s="48" t="s">
        <v>34</v>
      </c>
      <c r="H9" s="48">
        <v>20</v>
      </c>
      <c r="I9" s="48">
        <v>5</v>
      </c>
      <c r="J9" s="48">
        <v>2</v>
      </c>
      <c r="K9" s="48">
        <f t="shared" si="1"/>
        <v>0.4</v>
      </c>
      <c r="L9" s="48" t="s">
        <v>35</v>
      </c>
      <c r="M9" s="48">
        <v>15</v>
      </c>
      <c r="N9" s="48">
        <v>5</v>
      </c>
      <c r="O9" s="48">
        <v>4</v>
      </c>
      <c r="P9" s="48">
        <f t="shared" si="2"/>
        <v>0.8</v>
      </c>
      <c r="Q9" s="48">
        <v>6.21</v>
      </c>
      <c r="R9" s="48">
        <v>20</v>
      </c>
      <c r="S9" s="48">
        <v>5</v>
      </c>
      <c r="T9" s="48">
        <v>2</v>
      </c>
      <c r="U9" s="48">
        <f t="shared" si="3"/>
        <v>0.4</v>
      </c>
      <c r="V9" s="48">
        <f t="shared" si="4"/>
        <v>20</v>
      </c>
      <c r="W9" s="48">
        <f t="shared" si="5"/>
        <v>9</v>
      </c>
      <c r="X9" s="48">
        <f t="shared" si="6"/>
        <v>0.45</v>
      </c>
    </row>
    <row r="10" spans="1:24" ht="22" customHeight="1" x14ac:dyDescent="0.25">
      <c r="A10" s="48" t="s">
        <v>36</v>
      </c>
      <c r="B10" s="48">
        <v>6.23</v>
      </c>
      <c r="C10" s="48">
        <v>17</v>
      </c>
      <c r="D10" s="48">
        <v>5</v>
      </c>
      <c r="E10" s="48">
        <v>2</v>
      </c>
      <c r="F10" s="48">
        <f t="shared" si="0"/>
        <v>0.4</v>
      </c>
      <c r="G10" s="48">
        <v>6.25</v>
      </c>
      <c r="H10" s="48">
        <v>28</v>
      </c>
      <c r="I10" s="48">
        <v>5</v>
      </c>
      <c r="J10" s="48">
        <v>3</v>
      </c>
      <c r="K10" s="48">
        <f t="shared" si="1"/>
        <v>0.6</v>
      </c>
      <c r="L10" s="48"/>
      <c r="M10" s="48"/>
      <c r="N10" s="48">
        <v>5</v>
      </c>
      <c r="O10" s="48"/>
      <c r="P10" s="48" t="str">
        <f t="shared" si="2"/>
        <v/>
      </c>
      <c r="Q10" s="48"/>
      <c r="R10" s="48"/>
      <c r="S10" s="48">
        <v>5</v>
      </c>
      <c r="T10" s="48"/>
      <c r="U10" s="48" t="str">
        <f t="shared" si="3"/>
        <v/>
      </c>
      <c r="V10" s="48">
        <f t="shared" si="4"/>
        <v>20</v>
      </c>
      <c r="W10" s="48">
        <f t="shared" si="5"/>
        <v>5</v>
      </c>
      <c r="X10" s="48">
        <f t="shared" si="6"/>
        <v>0.25</v>
      </c>
    </row>
    <row r="11" spans="1:24" ht="22" customHeight="1" x14ac:dyDescent="0.25">
      <c r="A11" s="48" t="s">
        <v>37</v>
      </c>
      <c r="B11" s="48"/>
      <c r="C11" s="48"/>
      <c r="D11" s="48">
        <v>5</v>
      </c>
      <c r="E11" s="48"/>
      <c r="F11" s="48" t="str">
        <f t="shared" si="0"/>
        <v/>
      </c>
      <c r="G11" s="48"/>
      <c r="H11" s="48"/>
      <c r="I11" s="48">
        <v>5</v>
      </c>
      <c r="J11" s="48"/>
      <c r="K11" s="48" t="str">
        <f t="shared" si="1"/>
        <v/>
      </c>
      <c r="L11" s="48"/>
      <c r="M11" s="48"/>
      <c r="N11" s="48">
        <v>5</v>
      </c>
      <c r="O11" s="48"/>
      <c r="P11" s="48" t="str">
        <f t="shared" si="2"/>
        <v/>
      </c>
      <c r="Q11" s="48"/>
      <c r="R11" s="48"/>
      <c r="S11" s="48">
        <v>5</v>
      </c>
      <c r="T11" s="48"/>
      <c r="U11" s="48" t="str">
        <f t="shared" si="3"/>
        <v/>
      </c>
      <c r="V11" s="48">
        <f t="shared" si="4"/>
        <v>20</v>
      </c>
      <c r="W11" s="48">
        <f t="shared" si="5"/>
        <v>0</v>
      </c>
      <c r="X11" s="48">
        <f t="shared" si="6"/>
        <v>0</v>
      </c>
    </row>
    <row r="12" spans="1:24" ht="22" customHeight="1" x14ac:dyDescent="0.25">
      <c r="A12" s="48" t="s">
        <v>38</v>
      </c>
      <c r="B12" s="48"/>
      <c r="C12" s="48"/>
      <c r="D12" s="48">
        <v>5</v>
      </c>
      <c r="E12" s="48"/>
      <c r="F12" s="48" t="str">
        <f t="shared" si="0"/>
        <v/>
      </c>
      <c r="G12" s="48"/>
      <c r="H12" s="48"/>
      <c r="I12" s="48">
        <v>5</v>
      </c>
      <c r="J12" s="48"/>
      <c r="K12" s="48" t="str">
        <f t="shared" si="1"/>
        <v/>
      </c>
      <c r="L12" s="48"/>
      <c r="M12" s="48"/>
      <c r="N12" s="48">
        <v>5</v>
      </c>
      <c r="O12" s="48"/>
      <c r="P12" s="48" t="str">
        <f t="shared" si="2"/>
        <v/>
      </c>
      <c r="Q12" s="48"/>
      <c r="R12" s="48"/>
      <c r="S12" s="48">
        <v>5</v>
      </c>
      <c r="T12" s="48"/>
      <c r="U12" s="48" t="str">
        <f t="shared" si="3"/>
        <v/>
      </c>
      <c r="V12" s="48">
        <f t="shared" si="4"/>
        <v>20</v>
      </c>
      <c r="W12" s="48">
        <f t="shared" si="5"/>
        <v>0</v>
      </c>
      <c r="X12" s="48">
        <f t="shared" si="6"/>
        <v>0</v>
      </c>
    </row>
    <row r="13" spans="1:24" ht="22" customHeight="1" x14ac:dyDescent="0.25">
      <c r="A13" s="48" t="s">
        <v>39</v>
      </c>
      <c r="B13" s="48"/>
      <c r="C13" s="48"/>
      <c r="D13" s="48">
        <v>5</v>
      </c>
      <c r="E13" s="48"/>
      <c r="F13" s="48" t="str">
        <f t="shared" si="0"/>
        <v/>
      </c>
      <c r="G13" s="48"/>
      <c r="H13" s="48"/>
      <c r="I13" s="48">
        <v>5</v>
      </c>
      <c r="J13" s="48"/>
      <c r="K13" s="48" t="str">
        <f t="shared" si="1"/>
        <v/>
      </c>
      <c r="L13" s="48"/>
      <c r="M13" s="48"/>
      <c r="N13" s="48">
        <v>5</v>
      </c>
      <c r="O13" s="48"/>
      <c r="P13" s="48" t="str">
        <f t="shared" si="2"/>
        <v/>
      </c>
      <c r="Q13" s="48"/>
      <c r="R13" s="48"/>
      <c r="S13" s="48">
        <v>5</v>
      </c>
      <c r="T13" s="48"/>
      <c r="U13" s="48" t="str">
        <f t="shared" si="3"/>
        <v/>
      </c>
      <c r="V13" s="48">
        <f t="shared" si="4"/>
        <v>20</v>
      </c>
      <c r="W13" s="48">
        <f t="shared" si="5"/>
        <v>0</v>
      </c>
      <c r="X13" s="48">
        <f t="shared" si="6"/>
        <v>0</v>
      </c>
    </row>
    <row r="14" spans="1:24" ht="22" customHeight="1" x14ac:dyDescent="0.25">
      <c r="A14" s="48" t="s">
        <v>40</v>
      </c>
      <c r="B14" s="48"/>
      <c r="C14" s="48"/>
      <c r="D14" s="48">
        <v>5</v>
      </c>
      <c r="E14" s="48"/>
      <c r="F14" s="48" t="str">
        <f t="shared" si="0"/>
        <v/>
      </c>
      <c r="G14" s="48"/>
      <c r="H14" s="48"/>
      <c r="I14" s="48">
        <v>5</v>
      </c>
      <c r="J14" s="48"/>
      <c r="K14" s="48" t="str">
        <f t="shared" si="1"/>
        <v/>
      </c>
      <c r="L14" s="48"/>
      <c r="M14" s="48"/>
      <c r="N14" s="48">
        <v>5</v>
      </c>
      <c r="O14" s="48"/>
      <c r="P14" s="48" t="str">
        <f t="shared" si="2"/>
        <v/>
      </c>
      <c r="Q14" s="48"/>
      <c r="R14" s="48"/>
      <c r="S14" s="48">
        <v>5</v>
      </c>
      <c r="T14" s="48"/>
      <c r="U14" s="48" t="str">
        <f t="shared" si="3"/>
        <v/>
      </c>
      <c r="V14" s="48">
        <f t="shared" si="4"/>
        <v>20</v>
      </c>
      <c r="W14" s="48">
        <f t="shared" si="5"/>
        <v>0</v>
      </c>
      <c r="X14" s="48">
        <f t="shared" si="6"/>
        <v>0</v>
      </c>
    </row>
    <row r="15" spans="1:24" ht="22" customHeight="1" x14ac:dyDescent="0.25">
      <c r="A15" s="48" t="s">
        <v>41</v>
      </c>
      <c r="B15" s="48"/>
      <c r="C15" s="48"/>
      <c r="D15" s="48">
        <v>5</v>
      </c>
      <c r="E15" s="48"/>
      <c r="F15" s="48" t="str">
        <f t="shared" si="0"/>
        <v/>
      </c>
      <c r="G15" s="48"/>
      <c r="H15" s="48"/>
      <c r="I15" s="48">
        <v>5</v>
      </c>
      <c r="J15" s="48"/>
      <c r="K15" s="48" t="str">
        <f t="shared" si="1"/>
        <v/>
      </c>
      <c r="L15" s="48"/>
      <c r="M15" s="48"/>
      <c r="N15" s="48">
        <v>5</v>
      </c>
      <c r="O15" s="48"/>
      <c r="P15" s="48" t="str">
        <f t="shared" si="2"/>
        <v/>
      </c>
      <c r="Q15" s="48"/>
      <c r="R15" s="48"/>
      <c r="S15" s="48">
        <v>5</v>
      </c>
      <c r="T15" s="48"/>
      <c r="U15" s="48" t="str">
        <f t="shared" si="3"/>
        <v/>
      </c>
      <c r="V15" s="48">
        <f t="shared" si="4"/>
        <v>20</v>
      </c>
      <c r="W15" s="48">
        <f t="shared" si="5"/>
        <v>0</v>
      </c>
      <c r="X15" s="48">
        <f t="shared" si="6"/>
        <v>0</v>
      </c>
    </row>
    <row r="16" spans="1:24" ht="22" customHeight="1" x14ac:dyDescent="0.25">
      <c r="A16" s="48" t="s">
        <v>42</v>
      </c>
      <c r="B16" s="48"/>
      <c r="C16" s="48"/>
      <c r="D16" s="48">
        <v>5</v>
      </c>
      <c r="E16" s="48"/>
      <c r="F16" s="48" t="str">
        <f t="shared" si="0"/>
        <v/>
      </c>
      <c r="G16" s="48"/>
      <c r="H16" s="48"/>
      <c r="I16" s="48">
        <v>5</v>
      </c>
      <c r="J16" s="48"/>
      <c r="K16" s="48" t="str">
        <f t="shared" si="1"/>
        <v/>
      </c>
      <c r="L16" s="48"/>
      <c r="M16" s="48"/>
      <c r="N16" s="48">
        <v>5</v>
      </c>
      <c r="O16" s="48"/>
      <c r="P16" s="48" t="str">
        <f t="shared" si="2"/>
        <v/>
      </c>
      <c r="Q16" s="48"/>
      <c r="R16" s="48"/>
      <c r="S16" s="48">
        <v>5</v>
      </c>
      <c r="T16" s="48"/>
      <c r="U16" s="48" t="str">
        <f t="shared" si="3"/>
        <v/>
      </c>
      <c r="V16" s="48">
        <f t="shared" si="4"/>
        <v>20</v>
      </c>
      <c r="W16" s="48">
        <f t="shared" si="5"/>
        <v>0</v>
      </c>
      <c r="X16" s="48">
        <f t="shared" si="6"/>
        <v>0</v>
      </c>
    </row>
    <row r="17" spans="1:24" ht="22" customHeight="1" x14ac:dyDescent="0.25">
      <c r="A17" s="48" t="s">
        <v>43</v>
      </c>
      <c r="B17" s="48"/>
      <c r="C17" s="48"/>
      <c r="D17" s="48">
        <v>5</v>
      </c>
      <c r="E17" s="48"/>
      <c r="F17" s="48" t="str">
        <f t="shared" si="0"/>
        <v/>
      </c>
      <c r="G17" s="48"/>
      <c r="H17" s="48"/>
      <c r="I17" s="48">
        <v>5</v>
      </c>
      <c r="J17" s="48"/>
      <c r="K17" s="48" t="str">
        <f t="shared" si="1"/>
        <v/>
      </c>
      <c r="L17" s="48"/>
      <c r="M17" s="48"/>
      <c r="N17" s="48">
        <v>5</v>
      </c>
      <c r="O17" s="48"/>
      <c r="P17" s="48" t="str">
        <f t="shared" si="2"/>
        <v/>
      </c>
      <c r="Q17" s="48"/>
      <c r="R17" s="48"/>
      <c r="S17" s="48">
        <v>5</v>
      </c>
      <c r="T17" s="48"/>
      <c r="U17" s="48" t="str">
        <f t="shared" si="3"/>
        <v/>
      </c>
      <c r="V17" s="48">
        <f t="shared" si="4"/>
        <v>20</v>
      </c>
      <c r="W17" s="48">
        <f t="shared" si="5"/>
        <v>0</v>
      </c>
      <c r="X17" s="48">
        <f t="shared" si="6"/>
        <v>0</v>
      </c>
    </row>
    <row r="18" spans="1:24" ht="22" customHeight="1" x14ac:dyDescent="0.25">
      <c r="A18" s="48" t="s">
        <v>44</v>
      </c>
      <c r="B18" s="48"/>
      <c r="C18" s="48"/>
      <c r="D18" s="48">
        <v>5</v>
      </c>
      <c r="E18" s="48"/>
      <c r="F18" s="48" t="str">
        <f t="shared" si="0"/>
        <v/>
      </c>
      <c r="G18" s="48"/>
      <c r="H18" s="48"/>
      <c r="I18" s="48">
        <v>5</v>
      </c>
      <c r="J18" s="48"/>
      <c r="K18" s="48" t="str">
        <f t="shared" si="1"/>
        <v/>
      </c>
      <c r="L18" s="48"/>
      <c r="M18" s="48"/>
      <c r="N18" s="48">
        <v>5</v>
      </c>
      <c r="O18" s="48"/>
      <c r="P18" s="48" t="str">
        <f t="shared" si="2"/>
        <v/>
      </c>
      <c r="Q18" s="48"/>
      <c r="R18" s="48"/>
      <c r="S18" s="48">
        <v>5</v>
      </c>
      <c r="T18" s="48"/>
      <c r="U18" s="48" t="str">
        <f t="shared" si="3"/>
        <v/>
      </c>
      <c r="V18" s="48">
        <f t="shared" si="4"/>
        <v>20</v>
      </c>
      <c r="W18" s="48">
        <f t="shared" si="5"/>
        <v>0</v>
      </c>
      <c r="X18" s="48">
        <f t="shared" si="6"/>
        <v>0</v>
      </c>
    </row>
    <row r="19" spans="1:24" ht="22" customHeight="1" x14ac:dyDescent="0.25">
      <c r="A19" s="48" t="s">
        <v>45</v>
      </c>
      <c r="B19" s="48"/>
      <c r="C19" s="48"/>
      <c r="D19" s="48">
        <v>5</v>
      </c>
      <c r="E19" s="48"/>
      <c r="F19" s="48" t="str">
        <f t="shared" si="0"/>
        <v/>
      </c>
      <c r="G19" s="48"/>
      <c r="H19" s="48"/>
      <c r="I19" s="48">
        <v>5</v>
      </c>
      <c r="J19" s="48"/>
      <c r="K19" s="48" t="str">
        <f t="shared" si="1"/>
        <v/>
      </c>
      <c r="L19" s="48"/>
      <c r="M19" s="48"/>
      <c r="N19" s="48">
        <v>5</v>
      </c>
      <c r="O19" s="48"/>
      <c r="P19" s="48" t="str">
        <f t="shared" si="2"/>
        <v/>
      </c>
      <c r="Q19" s="48"/>
      <c r="R19" s="48"/>
      <c r="S19" s="48">
        <v>5</v>
      </c>
      <c r="T19" s="48"/>
      <c r="U19" s="48" t="str">
        <f t="shared" si="3"/>
        <v/>
      </c>
      <c r="V19" s="48">
        <f t="shared" si="4"/>
        <v>20</v>
      </c>
      <c r="W19" s="48">
        <f t="shared" si="5"/>
        <v>0</v>
      </c>
      <c r="X19" s="48">
        <f t="shared" si="6"/>
        <v>0</v>
      </c>
    </row>
    <row r="20" spans="1:24" ht="22" customHeight="1" x14ac:dyDescent="0.25">
      <c r="A20" s="48" t="s">
        <v>46</v>
      </c>
      <c r="B20" s="48"/>
      <c r="C20" s="48"/>
      <c r="D20" s="48">
        <v>5</v>
      </c>
      <c r="E20" s="48"/>
      <c r="F20" s="48" t="str">
        <f t="shared" si="0"/>
        <v/>
      </c>
      <c r="G20" s="48"/>
      <c r="H20" s="48"/>
      <c r="I20" s="48">
        <v>5</v>
      </c>
      <c r="J20" s="48"/>
      <c r="K20" s="48" t="str">
        <f t="shared" si="1"/>
        <v/>
      </c>
      <c r="L20" s="48"/>
      <c r="M20" s="48"/>
      <c r="N20" s="48">
        <v>5</v>
      </c>
      <c r="O20" s="48"/>
      <c r="P20" s="48" t="str">
        <f t="shared" si="2"/>
        <v/>
      </c>
      <c r="Q20" s="48"/>
      <c r="R20" s="48"/>
      <c r="S20" s="48">
        <v>5</v>
      </c>
      <c r="T20" s="48"/>
      <c r="U20" s="48" t="str">
        <f t="shared" si="3"/>
        <v/>
      </c>
      <c r="V20" s="48">
        <f t="shared" si="4"/>
        <v>20</v>
      </c>
      <c r="W20" s="48">
        <f t="shared" si="5"/>
        <v>0</v>
      </c>
      <c r="X20" s="48">
        <f t="shared" si="6"/>
        <v>0</v>
      </c>
    </row>
    <row r="21" spans="1:24" ht="22" customHeight="1" x14ac:dyDescent="0.25">
      <c r="A21" s="49" t="s">
        <v>47</v>
      </c>
      <c r="B21" s="50"/>
      <c r="C21" s="50"/>
      <c r="D21" s="46">
        <f>SUM(D5:D20)</f>
        <v>80</v>
      </c>
      <c r="E21" s="46">
        <f>SUM(E5:E20)</f>
        <v>4</v>
      </c>
      <c r="F21" s="46">
        <f t="shared" si="0"/>
        <v>0.05</v>
      </c>
      <c r="G21" s="50"/>
      <c r="H21" s="50"/>
      <c r="I21" s="46">
        <f>SUM(I5:I20)</f>
        <v>80</v>
      </c>
      <c r="J21" s="46">
        <f>SUM(J5:J20)</f>
        <v>9</v>
      </c>
      <c r="K21" s="46">
        <f t="shared" si="1"/>
        <v>0.1125</v>
      </c>
      <c r="L21" s="50"/>
      <c r="M21" s="50"/>
      <c r="N21" s="46">
        <f>SUM(N5:N20)</f>
        <v>80</v>
      </c>
      <c r="O21" s="46">
        <f>SUM(O5:O20)</f>
        <v>8</v>
      </c>
      <c r="P21" s="46">
        <f t="shared" si="2"/>
        <v>0.1</v>
      </c>
      <c r="Q21" s="50"/>
      <c r="R21" s="50"/>
      <c r="S21" s="46">
        <f>SUM(S5:S20)</f>
        <v>80</v>
      </c>
      <c r="T21" s="46">
        <f>SUM(T5:T20)</f>
        <v>4</v>
      </c>
      <c r="U21" s="46">
        <f t="shared" si="3"/>
        <v>0.05</v>
      </c>
      <c r="V21" s="46">
        <f>SUM(V5:V20)</f>
        <v>320</v>
      </c>
      <c r="W21" s="46">
        <f>SUM(W5:W20)</f>
        <v>25</v>
      </c>
      <c r="X21" s="46">
        <f t="shared" si="6"/>
        <v>7.8125E-2</v>
      </c>
    </row>
    <row r="22" spans="1:24" ht="22" customHeight="1" x14ac:dyDescent="0.25"/>
    <row r="23" spans="1:24" ht="22" customHeight="1" x14ac:dyDescent="0.25">
      <c r="A23" s="51" t="s">
        <v>48</v>
      </c>
      <c r="B23" s="52"/>
      <c r="C23" s="52"/>
      <c r="D23" s="53">
        <f>D21</f>
        <v>80</v>
      </c>
      <c r="E23" s="53">
        <f>E21</f>
        <v>4</v>
      </c>
      <c r="F23" s="53">
        <f>IF(AND(D23&lt;&gt;"",E23&lt;&gt;""),E23/D23,"")</f>
        <v>0.05</v>
      </c>
      <c r="G23" s="52"/>
      <c r="H23" s="52"/>
      <c r="I23" s="53">
        <f>I21</f>
        <v>80</v>
      </c>
      <c r="J23" s="53">
        <f>J21</f>
        <v>9</v>
      </c>
      <c r="K23" s="53">
        <f>IF(AND(I23&lt;&gt;"",J23&lt;&gt;""),J23/I23,"")</f>
        <v>0.1125</v>
      </c>
      <c r="L23" s="52"/>
      <c r="M23" s="52"/>
      <c r="N23" s="53">
        <f>N21</f>
        <v>80</v>
      </c>
      <c r="O23" s="53">
        <f>O21</f>
        <v>8</v>
      </c>
      <c r="P23" s="53">
        <f>IF(AND(N23&lt;&gt;"",O23&lt;&gt;""),O23/N23,"")</f>
        <v>0.1</v>
      </c>
      <c r="Q23" s="52"/>
      <c r="R23" s="52"/>
      <c r="S23" s="53">
        <f>S21</f>
        <v>80</v>
      </c>
      <c r="T23" s="53">
        <f>T21</f>
        <v>4</v>
      </c>
      <c r="U23" s="53">
        <f>IF(AND(S23&lt;&gt;"",T23&lt;&gt;""),T23/S23,"")</f>
        <v>0.05</v>
      </c>
      <c r="V23" s="53">
        <f>V21</f>
        <v>320</v>
      </c>
      <c r="W23" s="53">
        <f>W21</f>
        <v>25</v>
      </c>
      <c r="X23" s="53">
        <f>IF(AND(V23&lt;&gt;"",W23&lt;&gt;""),W23/V23,"")</f>
        <v>7.8125E-2</v>
      </c>
    </row>
  </sheetData>
  <mergeCells count="6">
    <mergeCell ref="A1:X1"/>
    <mergeCell ref="V3:X3"/>
    <mergeCell ref="L3:P3"/>
    <mergeCell ref="Q3:U3"/>
    <mergeCell ref="B3:F3"/>
    <mergeCell ref="G3:K3"/>
  </mergeCells>
  <phoneticPr fontId="1" type="noConversion"/>
  <conditionalFormatting sqref="F5:F21">
    <cfRule type="cellIs" dxfId="29" priority="1" operator="greaterThanOrEqual">
      <formula>0.9</formula>
    </cfRule>
    <cfRule type="cellIs" dxfId="28" priority="2" operator="between">
      <formula>0.8</formula>
      <formula>0.9</formula>
    </cfRule>
    <cfRule type="cellIs" dxfId="27" priority="3" operator="lessThan">
      <formula>0.8</formula>
    </cfRule>
  </conditionalFormatting>
  <conditionalFormatting sqref="F23">
    <cfRule type="cellIs" dxfId="26" priority="7" operator="greaterThanOrEqual">
      <formula>0.9</formula>
    </cfRule>
    <cfRule type="cellIs" dxfId="25" priority="8" operator="between">
      <formula>0.8</formula>
      <formula>0.9</formula>
    </cfRule>
    <cfRule type="cellIs" dxfId="24" priority="9" operator="lessThan">
      <formula>0.8</formula>
    </cfRule>
  </conditionalFormatting>
  <conditionalFormatting sqref="K5:K21">
    <cfRule type="cellIs" dxfId="23" priority="10" operator="greaterThanOrEqual">
      <formula>0.9</formula>
    </cfRule>
    <cfRule type="cellIs" dxfId="22" priority="11" operator="between">
      <formula>0.8</formula>
      <formula>0.9</formula>
    </cfRule>
    <cfRule type="cellIs" dxfId="21" priority="12" operator="lessThan">
      <formula>0.8</formula>
    </cfRule>
  </conditionalFormatting>
  <conditionalFormatting sqref="K23">
    <cfRule type="cellIs" dxfId="20" priority="16" operator="greaterThanOrEqual">
      <formula>0.9</formula>
    </cfRule>
    <cfRule type="cellIs" dxfId="19" priority="17" operator="between">
      <formula>0.8</formula>
      <formula>0.9</formula>
    </cfRule>
    <cfRule type="cellIs" dxfId="18" priority="18" operator="lessThan">
      <formula>0.8</formula>
    </cfRule>
  </conditionalFormatting>
  <conditionalFormatting sqref="P5:P21">
    <cfRule type="cellIs" dxfId="17" priority="19" operator="greaterThanOrEqual">
      <formula>0.9</formula>
    </cfRule>
    <cfRule type="cellIs" dxfId="16" priority="20" operator="between">
      <formula>0.8</formula>
      <formula>0.9</formula>
    </cfRule>
    <cfRule type="cellIs" dxfId="15" priority="21" operator="lessThan">
      <formula>0.8</formula>
    </cfRule>
  </conditionalFormatting>
  <conditionalFormatting sqref="P23">
    <cfRule type="cellIs" dxfId="14" priority="25" operator="greaterThanOrEqual">
      <formula>0.9</formula>
    </cfRule>
    <cfRule type="cellIs" dxfId="13" priority="26" operator="between">
      <formula>0.8</formula>
      <formula>0.9</formula>
    </cfRule>
    <cfRule type="cellIs" dxfId="12" priority="27" operator="lessThan">
      <formula>0.8</formula>
    </cfRule>
  </conditionalFormatting>
  <conditionalFormatting sqref="U5:U21">
    <cfRule type="cellIs" dxfId="11" priority="28" operator="greaterThanOrEqual">
      <formula>0.9</formula>
    </cfRule>
    <cfRule type="cellIs" dxfId="10" priority="29" operator="between">
      <formula>0.8</formula>
      <formula>0.9</formula>
    </cfRule>
    <cfRule type="cellIs" dxfId="9" priority="30" operator="lessThan">
      <formula>0.8</formula>
    </cfRule>
  </conditionalFormatting>
  <conditionalFormatting sqref="U23">
    <cfRule type="cellIs" dxfId="8" priority="34" operator="greaterThanOrEqual">
      <formula>0.9</formula>
    </cfRule>
    <cfRule type="cellIs" dxfId="7" priority="35" operator="between">
      <formula>0.8</formula>
      <formula>0.9</formula>
    </cfRule>
    <cfRule type="cellIs" dxfId="6" priority="36" operator="lessThan">
      <formula>0.8</formula>
    </cfRule>
  </conditionalFormatting>
  <conditionalFormatting sqref="X5:X21">
    <cfRule type="cellIs" dxfId="5" priority="37" operator="greaterThanOrEqual">
      <formula>0.9</formula>
    </cfRule>
    <cfRule type="cellIs" dxfId="4" priority="38" operator="between">
      <formula>0.8</formula>
      <formula>0.9</formula>
    </cfRule>
    <cfRule type="cellIs" dxfId="3" priority="39" operator="lessThan">
      <formula>0.8</formula>
    </cfRule>
  </conditionalFormatting>
  <conditionalFormatting sqref="X23">
    <cfRule type="cellIs" dxfId="2" priority="43" operator="greaterThanOrEqual">
      <formula>0.9</formula>
    </cfRule>
    <cfRule type="cellIs" dxfId="1" priority="44" operator="between">
      <formula>0.8</formula>
      <formula>0.9</formula>
    </cfRule>
    <cfRule type="cellIs" dxfId="0" priority="45" operator="lessThan">
      <formula>0.8</formula>
    </cfRule>
  </conditionalFormatting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8</vt:i4>
      </vt:variant>
    </vt:vector>
  </HeadingPairs>
  <TitlesOfParts>
    <vt:vector size="8" baseType="lpstr">
      <vt:lpstr>张宇1000题</vt:lpstr>
      <vt:lpstr>武忠祥高数严选题</vt:lpstr>
      <vt:lpstr>李林880</vt:lpstr>
      <vt:lpstr>王道数据结构</vt:lpstr>
      <vt:lpstr>王道计组</vt:lpstr>
      <vt:lpstr>王道操作系统</vt:lpstr>
      <vt:lpstr>王道计网</vt:lpstr>
      <vt:lpstr>英语真题阅读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souxin du</cp:lastModifiedBy>
  <dcterms:created xsi:type="dcterms:W3CDTF">2026-06-08T08:16:17Z</dcterms:created>
  <dcterms:modified xsi:type="dcterms:W3CDTF">2026-06-26T02:04:10Z</dcterms:modified>
</cp:coreProperties>
</file>