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B03D23E9-1CDC-4BE0-B94B-140ABBA46493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<sst xmlns="http://schemas.openxmlformats.org/spreadsheetml/2006/main" count="567" uniqueCount="306">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</sst>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/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0" fillId="0" borderId="6" xfId="0" applyBorder="1"/>
    <xf numFmtId="0" fontId="0" fillId="0" borderId="7" xfId="0" applyBorder="1"/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58" t="s">
        <v>52</v>
      </c>
      <c r="B4" s="59"/>
      <c r="C4" s="59"/>
      <c r="D4" s="59"/>
      <c r="E4" s="60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58" t="s">
        <v>88</v>
      </c>
      <c r="B41" s="59"/>
      <c r="C41" s="59"/>
      <c r="D41" s="59"/>
      <c r="E41" s="60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58" t="s">
        <v>106</v>
      </c>
      <c r="B83" s="59"/>
      <c r="C83" s="59"/>
      <c r="D83" s="59"/>
      <c r="E83" s="60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tabSelected="1" workbookViewId="0">
      <selection activeCell="I7" sqref="I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9"/>
      <c r="E3" s="60"/>
      <c r="F3" s="66" t="s">
        <v>305</v>
      </c>
      <c r="G3" s="59"/>
      <c r="H3" s="60"/>
      <c r="I3" s="65" t="s">
        <v>116</v>
      </c>
      <c r="J3" s="59"/>
      <c r="K3" s="60"/>
      <c r="L3" s="64" t="s">
        <v>47</v>
      </c>
      <c r="M3" s="59"/>
      <c r="N3" s="60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>
        <v>702</v>
      </c>
      <c r="C7" s="34">
        <v>13</v>
      </c>
      <c r="D7" s="34">
        <v>11</v>
      </c>
      <c r="E7" s="34">
        <f t="shared" si="0"/>
        <v>0.84615384615384615</v>
      </c>
      <c r="F7" s="34">
        <v>24</v>
      </c>
      <c r="G7" s="34">
        <v>18</v>
      </c>
      <c r="H7" s="34">
        <f t="shared" si="1"/>
        <v>0.75</v>
      </c>
      <c r="I7" s="77"/>
      <c r="J7" s="34"/>
      <c r="K7" s="34" t="str">
        <f t="shared" si="2"/>
        <v/>
      </c>
      <c r="L7" s="34">
        <f t="shared" si="3"/>
        <v>37</v>
      </c>
      <c r="M7" s="34">
        <f t="shared" si="4"/>
        <v>29</v>
      </c>
      <c r="N7" s="34">
        <f t="shared" si="5"/>
        <v>0.78378378378378377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48</v>
      </c>
      <c r="D14" s="37">
        <f>SUM(D5:D13)</f>
        <v>39</v>
      </c>
      <c r="E14" s="37">
        <f t="shared" si="0"/>
        <v>0.8125</v>
      </c>
      <c r="F14" s="37">
        <f>SUM(F5:F13)</f>
        <v>43</v>
      </c>
      <c r="G14" s="37">
        <f>SUM(G5:G13)</f>
        <v>36</v>
      </c>
      <c r="H14" s="37">
        <f t="shared" si="1"/>
        <v>0.83720930232558144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140</v>
      </c>
      <c r="M14" s="37">
        <f>SUM(M5:M13)</f>
        <v>111</v>
      </c>
      <c r="N14" s="37">
        <f t="shared" si="5"/>
        <v>0.79285714285714282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48</v>
      </c>
      <c r="D16" s="40">
        <f>D14</f>
        <v>39</v>
      </c>
      <c r="E16" s="40">
        <f>IF(AND(C16&lt;&gt;"",D16&lt;&gt;""),D16/C16,"")</f>
        <v>0.8125</v>
      </c>
      <c r="F16" s="40">
        <f>F14</f>
        <v>43</v>
      </c>
      <c r="G16" s="40">
        <f>G14</f>
        <v>36</v>
      </c>
      <c r="H16" s="40">
        <f>IF(AND(F16&lt;&gt;"",G16&lt;&gt;""),G16/F16,"")</f>
        <v>0.83720930232558144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140</v>
      </c>
      <c r="M16" s="40">
        <f>M14</f>
        <v>111</v>
      </c>
      <c r="N16" s="40">
        <f>IF(AND(L16&lt;&gt;"",M16&lt;&gt;""),M16/L16,"")</f>
        <v>0.79285714285714282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5" zoomScale="86" workbookViewId="0">
      <selection activeCell="C46" sqref="C46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9"/>
      <c r="E3" s="60"/>
      <c r="F3" s="69" t="s">
        <v>106</v>
      </c>
      <c r="G3" s="59"/>
      <c r="H3" s="60"/>
      <c r="I3" s="71" t="s">
        <v>47</v>
      </c>
      <c r="J3" s="59"/>
      <c r="K3" s="60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9"/>
      <c r="C5" s="59"/>
      <c r="D5" s="59"/>
      <c r="E5" s="59"/>
      <c r="F5" s="59"/>
      <c r="G5" s="59"/>
      <c r="H5" s="59"/>
      <c r="I5" s="59"/>
      <c r="J5" s="59"/>
      <c r="K5" s="60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9"/>
      <c r="C17" s="59"/>
      <c r="D17" s="59"/>
      <c r="E17" s="59"/>
      <c r="F17" s="59"/>
      <c r="G17" s="59"/>
      <c r="H17" s="59"/>
      <c r="I17" s="59"/>
      <c r="J17" s="59"/>
      <c r="K17" s="60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9"/>
      <c r="C26" s="59"/>
      <c r="D26" s="59"/>
      <c r="E26" s="59"/>
      <c r="F26" s="59"/>
      <c r="G26" s="59"/>
      <c r="H26" s="59"/>
      <c r="I26" s="59"/>
      <c r="J26" s="59"/>
      <c r="K26" s="60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0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9"/>
      <c r="E41" s="60"/>
      <c r="F41" s="69" t="s">
        <v>106</v>
      </c>
      <c r="G41" s="59"/>
      <c r="H41" s="60"/>
      <c r="I41" s="73" t="s">
        <v>156</v>
      </c>
      <c r="J41" s="59"/>
      <c r="K41" s="60"/>
      <c r="L41" s="71" t="s">
        <v>47</v>
      </c>
      <c r="M41" s="59"/>
      <c r="N41" s="60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60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60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60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0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158</v>
      </c>
      <c r="D79" s="59"/>
      <c r="E79" s="60"/>
      <c r="F79" s="69" t="s">
        <v>155</v>
      </c>
      <c r="G79" s="59"/>
      <c r="H79" s="60"/>
      <c r="I79" s="71" t="s">
        <v>113</v>
      </c>
      <c r="J79" s="59"/>
      <c r="K79" s="60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9"/>
      <c r="C81" s="59"/>
      <c r="D81" s="59"/>
      <c r="E81" s="59"/>
      <c r="F81" s="59"/>
      <c r="G81" s="59"/>
      <c r="H81" s="59"/>
      <c r="I81" s="59"/>
      <c r="J81" s="59"/>
      <c r="K81" s="60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9"/>
      <c r="C93" s="59"/>
      <c r="D93" s="59"/>
      <c r="E93" s="59"/>
      <c r="F93" s="59"/>
      <c r="G93" s="59"/>
      <c r="H93" s="59"/>
      <c r="I93" s="59"/>
      <c r="J93" s="59"/>
      <c r="K93" s="60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9"/>
      <c r="C102" s="59"/>
      <c r="D102" s="59"/>
      <c r="E102" s="59"/>
      <c r="F102" s="59"/>
      <c r="G102" s="59"/>
      <c r="H102" s="59"/>
      <c r="I102" s="59"/>
      <c r="J102" s="59"/>
      <c r="K102" s="60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13"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7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3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7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17" zoomScale="86" workbookViewId="0">
      <selection activeCell="G32" sqref="G32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7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76" t="s">
        <v>160</v>
      </c>
      <c r="B3" s="59"/>
      <c r="C3" s="59"/>
      <c r="D3" s="59"/>
      <c r="E3" s="59"/>
      <c r="F3" s="59"/>
      <c r="G3" s="59"/>
      <c r="H3" s="59"/>
      <c r="I3" s="59"/>
      <c r="J3" s="59"/>
      <c r="K3" s="60"/>
      <c r="L3" s="11"/>
      <c r="M3" s="75" t="s">
        <v>161</v>
      </c>
      <c r="N3" s="59"/>
      <c r="O3" s="59"/>
      <c r="P3" s="59"/>
      <c r="Q3" s="59"/>
      <c r="R3" s="59"/>
      <c r="S3" s="59"/>
      <c r="T3" s="59"/>
      <c r="U3" s="59"/>
      <c r="V3" s="60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438</v>
      </c>
      <c r="D39" s="18">
        <f>SUM(D5:D38)</f>
        <v>352</v>
      </c>
      <c r="E39" s="18">
        <f t="shared" si="20"/>
        <v>0.80365296803652964</v>
      </c>
      <c r="F39" s="18">
        <f>SUM(F5:F38)</f>
        <v>99</v>
      </c>
      <c r="G39" s="18">
        <f>SUM(G5:G38)</f>
        <v>78</v>
      </c>
      <c r="H39" s="18">
        <f t="shared" si="21"/>
        <v>0.78787878787878785</v>
      </c>
      <c r="I39" s="18">
        <f>SUM(I5:I38)</f>
        <v>339</v>
      </c>
      <c r="J39" s="18">
        <f>SUM(J5:J38)</f>
        <v>274</v>
      </c>
      <c r="K39" s="18">
        <f t="shared" si="23"/>
        <v>0.80825958702064893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438</v>
      </c>
      <c r="D41" s="21">
        <f>D39+O39</f>
        <v>352</v>
      </c>
      <c r="E41" s="21">
        <f>IF(AND(C41&lt;&gt;"",D41&lt;&gt;""),D41/C41,"")</f>
        <v>0.80365296803652964</v>
      </c>
      <c r="F41" s="21">
        <f>F39+Q39</f>
        <v>99</v>
      </c>
      <c r="G41" s="21">
        <f>G39+R39</f>
        <v>78</v>
      </c>
      <c r="H41" s="21">
        <f>IF(AND(F41&lt;&gt;"",G41&lt;&gt;""),G41/F41,"")</f>
        <v>0.78787878787878785</v>
      </c>
      <c r="I41" s="21">
        <f>I39+T39</f>
        <v>339</v>
      </c>
      <c r="J41" s="21">
        <f>J39+U39</f>
        <v>274</v>
      </c>
      <c r="K41" s="21">
        <f>IF(AND(I41&lt;&gt;"",J41&lt;&gt;""),J41/I41,"")</f>
        <v>0.80825958702064893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S13" sqref="S13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5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57" t="s">
        <v>1</v>
      </c>
      <c r="C3" s="55"/>
      <c r="D3" s="55"/>
      <c r="E3" s="55"/>
      <c r="F3" s="55"/>
      <c r="G3" s="57" t="s">
        <v>2</v>
      </c>
      <c r="H3" s="55"/>
      <c r="I3" s="55"/>
      <c r="J3" s="55"/>
      <c r="K3" s="55"/>
      <c r="L3" s="57" t="s">
        <v>3</v>
      </c>
      <c r="M3" s="55"/>
      <c r="N3" s="55"/>
      <c r="O3" s="55"/>
      <c r="P3" s="55"/>
      <c r="Q3" s="57" t="s">
        <v>4</v>
      </c>
      <c r="R3" s="55"/>
      <c r="S3" s="55"/>
      <c r="T3" s="55"/>
      <c r="U3" s="55"/>
      <c r="V3" s="56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>
        <v>7.2</v>
      </c>
      <c r="R10" s="48">
        <v>15</v>
      </c>
      <c r="S10" s="48">
        <v>5</v>
      </c>
      <c r="T10" s="48">
        <v>4</v>
      </c>
      <c r="U10" s="48">
        <f t="shared" si="3"/>
        <v>0.8</v>
      </c>
      <c r="V10" s="48">
        <f t="shared" si="4"/>
        <v>20</v>
      </c>
      <c r="W10" s="48">
        <f t="shared" si="5"/>
        <v>13</v>
      </c>
      <c r="X10" s="48">
        <f t="shared" si="6"/>
        <v>0.65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8</v>
      </c>
      <c r="U21" s="46">
        <f t="shared" si="3"/>
        <v>0.1</v>
      </c>
      <c r="V21" s="46">
        <f>SUM(V5:V20)</f>
        <v>320</v>
      </c>
      <c r="W21" s="46">
        <f>SUM(W5:W20)</f>
        <v>33</v>
      </c>
      <c r="X21" s="46">
        <f t="shared" si="6"/>
        <v>0.10312499999999999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8</v>
      </c>
      <c r="U23" s="53">
        <f>IF(AND(S23&lt;&gt;"",T23&lt;&gt;""),T23/S23,"")</f>
        <v>0.1</v>
      </c>
      <c r="V23" s="53">
        <f>V21</f>
        <v>320</v>
      </c>
      <c r="W23" s="53">
        <f>W21</f>
        <v>33</v>
      </c>
      <c r="X23" s="53">
        <f>IF(AND(V23&lt;&gt;"",W23&lt;&gt;""),W23/V23,"")</f>
        <v>0.10312499999999999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2026-07-02T14:09:03Z</dcterms:modified>
</cp:coreProperties>
</file>