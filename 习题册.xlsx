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B14D6165-6442-45A0-BC31-4A6F03DFE6E9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<sst xmlns="http://schemas.openxmlformats.org/spreadsheetml/2006/main" count="567" uniqueCount="306">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</sst>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  <xf numFmtId="0" fontId="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6" t="s">
        <v>49</v>
      </c>
      <c r="B1" s="56"/>
      <c r="C1" s="56"/>
      <c r="D1" s="56"/>
      <c r="E1" s="56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5" t="s">
        <v>52</v>
      </c>
      <c r="B4" s="58"/>
      <c r="C4" s="58"/>
      <c r="D4" s="58"/>
      <c r="E4" s="59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5" t="s">
        <v>88</v>
      </c>
      <c r="B41" s="58"/>
      <c r="C41" s="58"/>
      <c r="D41" s="58"/>
      <c r="E41" s="59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5" t="s">
        <v>106</v>
      </c>
      <c r="B83" s="58"/>
      <c r="C83" s="58"/>
      <c r="D83" s="58"/>
      <c r="E83" s="59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M21" sqref="M2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7" t="s">
        <v>114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6" customHeight="1" x14ac:dyDescent="0.25"/>
    <row r="3" spans="1:14" ht="22" customHeight="1" x14ac:dyDescent="0.25">
      <c r="A3" s="31"/>
      <c r="B3" s="31"/>
      <c r="C3" s="68" t="s">
        <v>115</v>
      </c>
      <c r="D3" s="58"/>
      <c r="E3" s="59"/>
      <c r="F3" s="71" t="s">
        <v>305</v>
      </c>
      <c r="G3" s="58"/>
      <c r="H3" s="59"/>
      <c r="I3" s="70" t="s">
        <v>116</v>
      </c>
      <c r="J3" s="58"/>
      <c r="K3" s="59"/>
      <c r="L3" s="69" t="s">
        <v>47</v>
      </c>
      <c r="M3" s="58"/>
      <c r="N3" s="59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48</v>
      </c>
      <c r="D14" s="37">
        <f>SUM(D5:D13)</f>
        <v>39</v>
      </c>
      <c r="E14" s="37">
        <f t="shared" si="0"/>
        <v>0.8125</v>
      </c>
      <c r="F14" s="37">
        <f>SUM(F5:F13)</f>
        <v>43</v>
      </c>
      <c r="G14" s="37">
        <f>SUM(G5:G13)</f>
        <v>36</v>
      </c>
      <c r="H14" s="37">
        <f t="shared" si="1"/>
        <v>0.83720930232558144</v>
      </c>
      <c r="I14" s="37">
        <f>SUM(I5:I13)</f>
        <v>74</v>
      </c>
      <c r="J14" s="37">
        <f>SUM(J5:J13)</f>
        <v>49</v>
      </c>
      <c r="K14" s="37">
        <f t="shared" si="2"/>
        <v>0.66216216216216217</v>
      </c>
      <c r="L14" s="37">
        <f>SUM(L5:L13)</f>
        <v>165</v>
      </c>
      <c r="M14" s="37">
        <f>SUM(M5:M13)</f>
        <v>124</v>
      </c>
      <c r="N14" s="37">
        <f t="shared" si="5"/>
        <v>0.75151515151515147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48</v>
      </c>
      <c r="D16" s="40">
        <f>D14</f>
        <v>39</v>
      </c>
      <c r="E16" s="40">
        <f>IF(AND(C16&lt;&gt;"",D16&lt;&gt;""),D16/C16,"")</f>
        <v>0.8125</v>
      </c>
      <c r="F16" s="40">
        <f>F14</f>
        <v>43</v>
      </c>
      <c r="G16" s="40">
        <f>G14</f>
        <v>36</v>
      </c>
      <c r="H16" s="40">
        <f>IF(AND(F16&lt;&gt;"",G16&lt;&gt;""),G16/F16,"")</f>
        <v>0.83720930232558144</v>
      </c>
      <c r="I16" s="40">
        <f>I14</f>
        <v>74</v>
      </c>
      <c r="J16" s="40">
        <f>J14</f>
        <v>49</v>
      </c>
      <c r="K16" s="40">
        <f>IF(AND(I16&lt;&gt;"",J16&lt;&gt;""),J16/I16,"")</f>
        <v>0.66216216216216217</v>
      </c>
      <c r="L16" s="40">
        <f>L14</f>
        <v>165</v>
      </c>
      <c r="M16" s="40">
        <f>M14</f>
        <v>124</v>
      </c>
      <c r="N16" s="40">
        <f>IF(AND(L16&lt;&gt;"",M16&lt;&gt;""),M16/L16,"")</f>
        <v>0.75151515151515147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4" zoomScale="86" workbookViewId="0">
      <selection activeCell="D47" sqref="D4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5" t="s">
        <v>126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1" ht="6" customHeight="1" x14ac:dyDescent="0.25"/>
    <row r="3" spans="1:11" ht="24" customHeight="1" x14ac:dyDescent="0.25">
      <c r="A3" s="1"/>
      <c r="B3" s="1"/>
      <c r="C3" s="63" t="s">
        <v>52</v>
      </c>
      <c r="D3" s="58"/>
      <c r="E3" s="59"/>
      <c r="F3" s="61" t="s">
        <v>106</v>
      </c>
      <c r="G3" s="58"/>
      <c r="H3" s="59"/>
      <c r="I3" s="60" t="s">
        <v>47</v>
      </c>
      <c r="J3" s="58"/>
      <c r="K3" s="59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57" t="s">
        <v>53</v>
      </c>
      <c r="B5" s="58"/>
      <c r="C5" s="58"/>
      <c r="D5" s="58"/>
      <c r="E5" s="58"/>
      <c r="F5" s="58"/>
      <c r="G5" s="58"/>
      <c r="H5" s="58"/>
      <c r="I5" s="58"/>
      <c r="J5" s="58"/>
      <c r="K5" s="59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/>
      <c r="G8" s="4"/>
      <c r="H8" s="4" t="str">
        <f t="shared" si="1"/>
        <v/>
      </c>
      <c r="I8" s="4">
        <f t="shared" si="2"/>
        <v>32</v>
      </c>
      <c r="J8" s="4">
        <f t="shared" si="3"/>
        <v>28</v>
      </c>
      <c r="K8" s="4">
        <f t="shared" si="4"/>
        <v>0.875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138</v>
      </c>
      <c r="J15" s="7">
        <f>SUM(J6:J14)</f>
        <v>122</v>
      </c>
      <c r="K15" s="7">
        <f t="shared" si="4"/>
        <v>0.88405797101449279</v>
      </c>
    </row>
    <row r="16" spans="1:11" ht="22" customHeight="1" x14ac:dyDescent="0.25"/>
    <row r="17" spans="1:11" ht="22" customHeight="1" x14ac:dyDescent="0.25">
      <c r="A17" s="57" t="s">
        <v>73</v>
      </c>
      <c r="B17" s="58"/>
      <c r="C17" s="58"/>
      <c r="D17" s="58"/>
      <c r="E17" s="58"/>
      <c r="F17" s="58"/>
      <c r="G17" s="58"/>
      <c r="H17" s="58"/>
      <c r="I17" s="58"/>
      <c r="J17" s="58"/>
      <c r="K17" s="59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7" t="s">
        <v>80</v>
      </c>
      <c r="B26" s="58"/>
      <c r="C26" s="58"/>
      <c r="D26" s="58"/>
      <c r="E26" s="58"/>
      <c r="F26" s="58"/>
      <c r="G26" s="58"/>
      <c r="H26" s="58"/>
      <c r="I26" s="58"/>
      <c r="J26" s="58"/>
      <c r="K26" s="59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138</v>
      </c>
      <c r="J36" s="10">
        <f>J15+J24+J35</f>
        <v>122</v>
      </c>
      <c r="K36" s="10">
        <f t="shared" si="12"/>
        <v>0.88405797101449279</v>
      </c>
    </row>
    <row r="39" spans="1:14" ht="30" customHeight="1" x14ac:dyDescent="0.25">
      <c r="A39" s="64" t="s">
        <v>155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</row>
    <row r="40" spans="1:14" ht="6" customHeight="1" x14ac:dyDescent="0.25"/>
    <row r="41" spans="1:14" ht="24" customHeight="1" x14ac:dyDescent="0.25">
      <c r="A41" s="1"/>
      <c r="B41" s="1"/>
      <c r="C41" s="63" t="s">
        <v>52</v>
      </c>
      <c r="D41" s="58"/>
      <c r="E41" s="59"/>
      <c r="F41" s="61" t="s">
        <v>106</v>
      </c>
      <c r="G41" s="58"/>
      <c r="H41" s="59"/>
      <c r="I41" s="62" t="s">
        <v>156</v>
      </c>
      <c r="J41" s="58"/>
      <c r="K41" s="59"/>
      <c r="L41" s="60" t="s">
        <v>47</v>
      </c>
      <c r="M41" s="58"/>
      <c r="N41" s="59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57" t="s">
        <v>53</v>
      </c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9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17</v>
      </c>
      <c r="M46" s="4">
        <f t="shared" si="18"/>
        <v>13</v>
      </c>
      <c r="N46" s="4">
        <f t="shared" si="19"/>
        <v>0.76470588235294112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41</v>
      </c>
      <c r="D53" s="7">
        <f>SUM(D44:D52)</f>
        <v>30</v>
      </c>
      <c r="E53" s="7">
        <f t="shared" si="14"/>
        <v>0.73170731707317072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74</v>
      </c>
      <c r="M53" s="7">
        <f>SUM(M44:M52)</f>
        <v>48</v>
      </c>
      <c r="N53" s="7">
        <f t="shared" si="19"/>
        <v>0.64864864864864868</v>
      </c>
    </row>
    <row r="54" spans="1:14" ht="22" customHeight="1" x14ac:dyDescent="0.25"/>
    <row r="55" spans="1:14" ht="22" customHeight="1" x14ac:dyDescent="0.25">
      <c r="A55" s="57" t="s">
        <v>73</v>
      </c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9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7" t="s">
        <v>80</v>
      </c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9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41</v>
      </c>
      <c r="D74" s="10">
        <f>D53+D62+D73</f>
        <v>30</v>
      </c>
      <c r="E74" s="10">
        <f t="shared" si="27"/>
        <v>0.73170731707317072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74</v>
      </c>
      <c r="M74" s="10">
        <f>M53+M62+M73</f>
        <v>48</v>
      </c>
      <c r="N74" s="10">
        <f t="shared" si="31"/>
        <v>0.64864864864864868</v>
      </c>
    </row>
    <row r="77" spans="1:14" ht="30" customHeight="1" x14ac:dyDescent="0.25">
      <c r="A77" s="64" t="s">
        <v>157</v>
      </c>
      <c r="B77" s="56"/>
      <c r="C77" s="56"/>
      <c r="D77" s="56"/>
      <c r="E77" s="56"/>
      <c r="F77" s="56"/>
      <c r="G77" s="56"/>
      <c r="H77" s="56"/>
      <c r="I77" s="56"/>
      <c r="J77" s="56"/>
      <c r="K77" s="56"/>
    </row>
    <row r="78" spans="1:14" ht="6" customHeight="1" x14ac:dyDescent="0.25"/>
    <row r="79" spans="1:14" ht="24" customHeight="1" x14ac:dyDescent="0.25">
      <c r="A79" s="1"/>
      <c r="B79" s="1"/>
      <c r="C79" s="63" t="s">
        <v>158</v>
      </c>
      <c r="D79" s="58"/>
      <c r="E79" s="59"/>
      <c r="F79" s="61" t="s">
        <v>155</v>
      </c>
      <c r="G79" s="58"/>
      <c r="H79" s="59"/>
      <c r="I79" s="60" t="s">
        <v>113</v>
      </c>
      <c r="J79" s="58"/>
      <c r="K79" s="59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57" t="s">
        <v>53</v>
      </c>
      <c r="B81" s="58"/>
      <c r="C81" s="58"/>
      <c r="D81" s="58"/>
      <c r="E81" s="58"/>
      <c r="F81" s="58"/>
      <c r="G81" s="58"/>
      <c r="H81" s="58"/>
      <c r="I81" s="58"/>
      <c r="J81" s="58"/>
      <c r="K81" s="59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32</v>
      </c>
      <c r="D84" s="4">
        <f t="shared" si="34"/>
        <v>28</v>
      </c>
      <c r="E84" s="4">
        <f t="shared" si="35"/>
        <v>0.875</v>
      </c>
      <c r="F84" s="4">
        <f t="shared" si="36"/>
        <v>17</v>
      </c>
      <c r="G84" s="4">
        <f t="shared" si="37"/>
        <v>13</v>
      </c>
      <c r="H84" s="4">
        <f t="shared" si="38"/>
        <v>0.76470588235294112</v>
      </c>
      <c r="I84" s="4">
        <f t="shared" si="39"/>
        <v>49</v>
      </c>
      <c r="J84" s="4">
        <f t="shared" si="40"/>
        <v>41</v>
      </c>
      <c r="K84" s="4">
        <f t="shared" si="41"/>
        <v>0.83673469387755106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138</v>
      </c>
      <c r="D91" s="7">
        <f>SUM(D82:D90)</f>
        <v>122</v>
      </c>
      <c r="E91" s="7">
        <f t="shared" si="35"/>
        <v>0.88405797101449279</v>
      </c>
      <c r="F91" s="7">
        <f>SUM(F82:F90)</f>
        <v>74</v>
      </c>
      <c r="G91" s="7">
        <f>SUM(G82:G90)</f>
        <v>48</v>
      </c>
      <c r="H91" s="7">
        <f t="shared" si="38"/>
        <v>0.64864864864864868</v>
      </c>
      <c r="I91" s="7">
        <f>SUM(I82:I90)</f>
        <v>212</v>
      </c>
      <c r="J91" s="7">
        <f>SUM(J82:J90)</f>
        <v>170</v>
      </c>
      <c r="K91" s="7">
        <f t="shared" si="41"/>
        <v>0.80188679245283023</v>
      </c>
    </row>
    <row r="92" spans="1:11" ht="22" customHeight="1" x14ac:dyDescent="0.25"/>
    <row r="93" spans="1:11" ht="22" customHeight="1" x14ac:dyDescent="0.25">
      <c r="A93" s="57" t="s">
        <v>73</v>
      </c>
      <c r="B93" s="58"/>
      <c r="C93" s="58"/>
      <c r="D93" s="58"/>
      <c r="E93" s="58"/>
      <c r="F93" s="58"/>
      <c r="G93" s="58"/>
      <c r="H93" s="58"/>
      <c r="I93" s="58"/>
      <c r="J93" s="58"/>
      <c r="K93" s="59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7" t="s">
        <v>80</v>
      </c>
      <c r="B102" s="58"/>
      <c r="C102" s="58"/>
      <c r="D102" s="58"/>
      <c r="E102" s="58"/>
      <c r="F102" s="58"/>
      <c r="G102" s="58"/>
      <c r="H102" s="58"/>
      <c r="I102" s="58"/>
      <c r="J102" s="58"/>
      <c r="K102" s="59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138</v>
      </c>
      <c r="D112" s="10">
        <f>D91+D100+D111</f>
        <v>122</v>
      </c>
      <c r="E112" s="10">
        <f t="shared" si="51"/>
        <v>0.88405797101449279</v>
      </c>
      <c r="F112" s="10">
        <f>F91+F100+F111</f>
        <v>74</v>
      </c>
      <c r="G112" s="10">
        <f>G91+G100+G111</f>
        <v>48</v>
      </c>
      <c r="H112" s="10">
        <f t="shared" si="53"/>
        <v>0.64864864864864868</v>
      </c>
      <c r="I112" s="10">
        <f>I91+I100+I111</f>
        <v>212</v>
      </c>
      <c r="J112" s="10">
        <f>J91+J100+J111</f>
        <v>170</v>
      </c>
      <c r="K112" s="10">
        <f t="shared" si="55"/>
        <v>0.80188679245283023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L20" sqref="L20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2" t="s">
        <v>159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4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73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55" t="s">
        <v>211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4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73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2" t="s">
        <v>247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4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73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2" t="s">
        <v>270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4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73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E12" sqref="E12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24" ht="6" customHeight="1" x14ac:dyDescent="0.25"/>
    <row r="3" spans="1:24" ht="22" customHeight="1" x14ac:dyDescent="0.25">
      <c r="A3" s="45"/>
      <c r="B3" s="77" t="s">
        <v>1</v>
      </c>
      <c r="C3" s="56"/>
      <c r="D3" s="56"/>
      <c r="E3" s="56"/>
      <c r="F3" s="56"/>
      <c r="G3" s="77" t="s">
        <v>2</v>
      </c>
      <c r="H3" s="56"/>
      <c r="I3" s="56"/>
      <c r="J3" s="56"/>
      <c r="K3" s="56"/>
      <c r="L3" s="77" t="s">
        <v>3</v>
      </c>
      <c r="M3" s="56"/>
      <c r="N3" s="56"/>
      <c r="O3" s="56"/>
      <c r="P3" s="56"/>
      <c r="Q3" s="77" t="s">
        <v>4</v>
      </c>
      <c r="R3" s="56"/>
      <c r="S3" s="56"/>
      <c r="T3" s="56"/>
      <c r="U3" s="56"/>
      <c r="V3" s="76" t="s">
        <v>5</v>
      </c>
      <c r="W3" s="56"/>
      <c r="X3" s="56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5</v>
      </c>
      <c r="X11" s="48">
        <f t="shared" si="6"/>
        <v>0.25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9</v>
      </c>
      <c r="F21" s="46">
        <f t="shared" si="0"/>
        <v>0.1125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8</v>
      </c>
      <c r="U21" s="46">
        <f t="shared" si="3"/>
        <v>0.1</v>
      </c>
      <c r="V21" s="46">
        <f>SUM(V5:V20)</f>
        <v>320</v>
      </c>
      <c r="W21" s="46">
        <f>SUM(W5:W20)</f>
        <v>38</v>
      </c>
      <c r="X21" s="46">
        <f t="shared" si="6"/>
        <v>0.11874999999999999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9</v>
      </c>
      <c r="F23" s="53">
        <f>IF(AND(D23&lt;&gt;"",E23&lt;&gt;""),E23/D23,"")</f>
        <v>0.1125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8</v>
      </c>
      <c r="U23" s="53">
        <f>IF(AND(S23&lt;&gt;"",T23&lt;&gt;""),T23/S23,"")</f>
        <v>0.1</v>
      </c>
      <c r="V23" s="53">
        <f>V21</f>
        <v>320</v>
      </c>
      <c r="W23" s="53">
        <f>W21</f>
        <v>38</v>
      </c>
      <c r="X23" s="53">
        <f>IF(AND(V23&lt;&gt;"",W23&lt;&gt;""),W23/V23,"")</f>
        <v>0.11874999999999999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2026-07-05T09:02:50Z</dcterms:modified>
</cp:coreProperties>
</file>