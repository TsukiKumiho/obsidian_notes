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998E818E-94EC-4F71-AF87-7EFB1337A1E2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<sst xmlns="http://schemas.openxmlformats.org/spreadsheetml/2006/main" count="567" uniqueCount="306">
  <si>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</si>
  <si>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</si>
  <si>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</si>
  <si>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</si>
  <si>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</si>
  <si>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</si>
  <si>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</si>
  <si>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</si>
  <si>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</si>
  <si>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</si>
  <si>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</si>
  <si>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</si>
  <si>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</si>
  <si>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</si>
  <si>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</si>
  <si>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</si>
  <si>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</si>
  <si>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</si>
  <si>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</si>
  <si>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</si>
  <si>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</si>
  <si>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</si>
  <si>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</si>
  <si>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</si>
  <si>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</si>
  <si>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</si>
  <si>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</si>
  <si>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</si>
  <si>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</si>
  <si>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</si>
  <si>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</si>
  <si>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</si>
  <si>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</si>
  <si>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</si>
  <si>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</si>
  <si>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</si>
  <si>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</si>
  <si>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</si>
  <si>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</si>
  <si>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</si>
  <si>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</si>
  <si>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</si>
  <si>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</si>
  <si>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</si>
  <si>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</si>
  <si>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</si>
  <si>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</si>
  <si>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</si>
  <si>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</si>
  <si>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</si>
  <si>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</si>
  <si>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</si>
  <si>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</si>
  <si>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</si>
  <si>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</si>
  <si>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</si>
  <si>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</si>
  <si>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</si>
  <si>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</si>
  <si>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</si>
  <si>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</si>
  <si>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</si>
  <si>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</si>
  <si>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</si>
  <si>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</si>
  <si>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</si>
  <si>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</si>
  <si>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</si>
  <si>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</si>
  <si>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</si>
  <si>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</si>
  <si>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</si>
  <si>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</si>
  <si>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</si>
  <si>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</si>
  <si>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</si>
  <si>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</si>
  <si>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</si>
  <si>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</si>
  <si>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</si>
  <si>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</si>
  <si>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</si>
  <si>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</si>
  <si>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</si>
  <si>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</si>
  <si>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</si>
  <si>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</si>
  <si>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</si>
  <si>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</si>
  <si>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</si>
  <si>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</si>
  <si>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</si>
  <si>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</si>
  <si>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</si>
  <si>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</si>
  <si>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</si>
  <si>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</si>
  <si>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</si>
  <si>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</si>
  <si>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</si>
  <si>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</si>
  <si>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</si>
  <si>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</si>
  <si>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</si>
  <si>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</si>
  <si>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</si>
  <si>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</si>
  <si>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</si>
  <si>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</si>
  <si>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</si>
  <si>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</si>
  <si>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</si>
  <si>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</si>
  <si>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</si>
  <si>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</si>
  <si>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</si>
  <si>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填空题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</si>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</sst>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7" fillId="3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10" workbookViewId="0">
      <selection activeCell="C16" sqref="C16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1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0" t="s">
        <v>52</v>
      </c>
      <c r="B4" s="57"/>
      <c r="C4" s="57"/>
      <c r="D4" s="57"/>
      <c r="E4" s="58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0" t="s">
        <v>88</v>
      </c>
      <c r="B41" s="57"/>
      <c r="C41" s="57"/>
      <c r="D41" s="57"/>
      <c r="E41" s="58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0" t="s">
        <v>106</v>
      </c>
      <c r="B83" s="57"/>
      <c r="C83" s="57"/>
      <c r="D83" s="57"/>
      <c r="E83" s="58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B25" sqref="B25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2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3" t="s">
        <v>115</v>
      </c>
      <c r="D3" s="57"/>
      <c r="E3" s="58"/>
      <c r="F3" s="66" t="s">
        <v>116</v>
      </c>
      <c r="G3" s="57"/>
      <c r="H3" s="58"/>
      <c r="I3" s="65" t="s">
        <v>117</v>
      </c>
      <c r="J3" s="57"/>
      <c r="K3" s="58"/>
      <c r="L3" s="64" t="s">
        <v>47</v>
      </c>
      <c r="M3" s="57"/>
      <c r="N3" s="58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118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119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120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121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122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123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124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125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126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18</v>
      </c>
      <c r="D14" s="37">
        <f>SUM(D5:D13)</f>
        <v>14</v>
      </c>
      <c r="E14" s="37">
        <f t="shared" si="0"/>
        <v>0.77777777777777779</v>
      </c>
      <c r="F14" s="37">
        <f>SUM(F5:F13)</f>
        <v>8</v>
      </c>
      <c r="G14" s="37">
        <f>SUM(G5:G13)</f>
        <v>8</v>
      </c>
      <c r="H14" s="37">
        <f t="shared" si="1"/>
        <v>1</v>
      </c>
      <c r="I14" s="37">
        <f>SUM(I5:I13)</f>
        <v>23</v>
      </c>
      <c r="J14" s="37">
        <f>SUM(J5:J13)</f>
        <v>21</v>
      </c>
      <c r="K14" s="37">
        <f t="shared" si="2"/>
        <v>0.91304347826086951</v>
      </c>
      <c r="L14" s="37">
        <f>SUM(L5:L13)</f>
        <v>49</v>
      </c>
      <c r="M14" s="37">
        <f>SUM(M5:M13)</f>
        <v>43</v>
      </c>
      <c r="N14" s="37">
        <f t="shared" si="5"/>
        <v>0.87755102040816324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18</v>
      </c>
      <c r="D16" s="40">
        <f>D14</f>
        <v>14</v>
      </c>
      <c r="E16" s="40">
        <f>IF(AND(C16&lt;&gt;"",D16&lt;&gt;""),D16/C16,"")</f>
        <v>0.77777777777777779</v>
      </c>
      <c r="F16" s="40">
        <f>F14</f>
        <v>8</v>
      </c>
      <c r="G16" s="40">
        <f>G14</f>
        <v>8</v>
      </c>
      <c r="H16" s="40">
        <f>IF(AND(F16&lt;&gt;"",G16&lt;&gt;""),G16/F16,"")</f>
        <v>1</v>
      </c>
      <c r="I16" s="40">
        <f>I14</f>
        <v>23</v>
      </c>
      <c r="J16" s="40">
        <f>J14</f>
        <v>21</v>
      </c>
      <c r="K16" s="40">
        <f>IF(AND(I16&lt;&gt;"",J16&lt;&gt;""),J16/I16,"")</f>
        <v>0.91304347826086951</v>
      </c>
      <c r="L16" s="40">
        <f>L14</f>
        <v>49</v>
      </c>
      <c r="M16" s="40">
        <f>M14</f>
        <v>43</v>
      </c>
      <c r="N16" s="40">
        <f>IF(AND(L16&lt;&gt;"",M16&lt;&gt;""),M16/L16,"")</f>
        <v>0.87755102040816324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topLeftCell="A39" zoomScale="86" workbookViewId="0">
      <selection activeCell="B68" sqref="B68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72" t="s">
        <v>127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67" t="s">
        <v>52</v>
      </c>
      <c r="D3" s="57"/>
      <c r="E3" s="58"/>
      <c r="F3" s="69" t="s">
        <v>106</v>
      </c>
      <c r="G3" s="57"/>
      <c r="H3" s="58"/>
      <c r="I3" s="71" t="s">
        <v>47</v>
      </c>
      <c r="J3" s="57"/>
      <c r="K3" s="58"/>
    </row>
    <row r="4" spans="1:11" ht="24" customHeight="1" x14ac:dyDescent="0.25">
      <c r="A4" s="2" t="s">
        <v>50</v>
      </c>
      <c r="B4" s="2" t="s">
        <v>128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8" t="s">
        <v>53</v>
      </c>
      <c r="B5" s="57"/>
      <c r="C5" s="57"/>
      <c r="D5" s="57"/>
      <c r="E5" s="57"/>
      <c r="F5" s="57"/>
      <c r="G5" s="57"/>
      <c r="H5" s="57"/>
      <c r="I5" s="57"/>
      <c r="J5" s="57"/>
      <c r="K5" s="58"/>
    </row>
    <row r="6" spans="1:11" ht="22" customHeight="1" x14ac:dyDescent="0.25">
      <c r="A6" s="3" t="s">
        <v>129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130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131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132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133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134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135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136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137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138</v>
      </c>
      <c r="B15" s="6"/>
      <c r="C15" s="7">
        <f>SUM(C6:C14)</f>
        <v>15</v>
      </c>
      <c r="D15" s="7">
        <f>SUM(D6:D14)</f>
        <v>14</v>
      </c>
      <c r="E15" s="7">
        <f t="shared" si="0"/>
        <v>0.93333333333333335</v>
      </c>
      <c r="F15" s="7">
        <f>SUM(F6:F14)</f>
        <v>22</v>
      </c>
      <c r="G15" s="7">
        <f>SUM(G6:G14)</f>
        <v>21</v>
      </c>
      <c r="H15" s="7">
        <f t="shared" si="1"/>
        <v>0.95454545454545459</v>
      </c>
      <c r="I15" s="7">
        <f>SUM(I6:I14)</f>
        <v>37</v>
      </c>
      <c r="J15" s="7">
        <f>SUM(J6:J14)</f>
        <v>35</v>
      </c>
      <c r="K15" s="7">
        <f t="shared" si="4"/>
        <v>0.94594594594594594</v>
      </c>
    </row>
    <row r="16" spans="1:11" ht="22" customHeight="1" x14ac:dyDescent="0.25"/>
    <row r="17" spans="1:11" ht="22" customHeight="1" x14ac:dyDescent="0.25">
      <c r="A17" s="68" t="s">
        <v>73</v>
      </c>
      <c r="B17" s="57"/>
      <c r="C17" s="57"/>
      <c r="D17" s="57"/>
      <c r="E17" s="57"/>
      <c r="F17" s="57"/>
      <c r="G17" s="57"/>
      <c r="H17" s="57"/>
      <c r="I17" s="57"/>
      <c r="J17" s="57"/>
      <c r="K17" s="58"/>
    </row>
    <row r="18" spans="1:11" ht="22" customHeight="1" x14ac:dyDescent="0.25">
      <c r="A18" s="3" t="s">
        <v>139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140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141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142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143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144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145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8" t="s">
        <v>80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spans="1:11" ht="22" customHeight="1" x14ac:dyDescent="0.25">
      <c r="A27" s="3" t="s">
        <v>146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147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148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149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150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151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152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153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154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155</v>
      </c>
      <c r="B36" s="9"/>
      <c r="C36" s="10">
        <f>C15+C24+C35</f>
        <v>15</v>
      </c>
      <c r="D36" s="10">
        <f>D15+D24+D35</f>
        <v>14</v>
      </c>
      <c r="E36" s="10">
        <f t="shared" si="9"/>
        <v>0.93333333333333335</v>
      </c>
      <c r="F36" s="10">
        <f>F15+F24+F35</f>
        <v>22</v>
      </c>
      <c r="G36" s="10">
        <f>G15+G24+G35</f>
        <v>21</v>
      </c>
      <c r="H36" s="10">
        <f t="shared" si="10"/>
        <v>0.95454545454545459</v>
      </c>
      <c r="I36" s="10">
        <f>I15+I24+I35</f>
        <v>37</v>
      </c>
      <c r="J36" s="10">
        <f>J15+J24+J35</f>
        <v>35</v>
      </c>
      <c r="K36" s="10">
        <f t="shared" si="12"/>
        <v>0.94594594594594594</v>
      </c>
    </row>
    <row r="39" spans="1:14" ht="30" customHeight="1" x14ac:dyDescent="0.25">
      <c r="A39" s="70" t="s">
        <v>156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67" t="s">
        <v>52</v>
      </c>
      <c r="D41" s="57"/>
      <c r="E41" s="58"/>
      <c r="F41" s="69" t="s">
        <v>106</v>
      </c>
      <c r="G41" s="57"/>
      <c r="H41" s="58"/>
      <c r="I41" s="73" t="s">
        <v>157</v>
      </c>
      <c r="J41" s="57"/>
      <c r="K41" s="58"/>
      <c r="L41" s="71" t="s">
        <v>47</v>
      </c>
      <c r="M41" s="57"/>
      <c r="N41" s="58"/>
    </row>
    <row r="42" spans="1:14" ht="24" customHeight="1" x14ac:dyDescent="0.25">
      <c r="A42" s="2" t="s">
        <v>50</v>
      </c>
      <c r="B42" s="2" t="s">
        <v>128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8" t="s">
        <v>53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8"/>
    </row>
    <row r="44" spans="1:14" ht="22" customHeight="1" x14ac:dyDescent="0.25">
      <c r="A44" s="3" t="s">
        <v>129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130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131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132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133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134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135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136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137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138</v>
      </c>
      <c r="B53" s="6"/>
      <c r="C53" s="7">
        <f>SUM(C44:C52)</f>
        <v>5</v>
      </c>
      <c r="D53" s="7">
        <f>SUM(D44:D52)</f>
        <v>5</v>
      </c>
      <c r="E53" s="7">
        <f t="shared" si="14"/>
        <v>1</v>
      </c>
      <c r="F53" s="7">
        <f>SUM(F44:F52)</f>
        <v>12</v>
      </c>
      <c r="G53" s="7">
        <f>SUM(G44:G52)</f>
        <v>6</v>
      </c>
      <c r="H53" s="7">
        <f t="shared" si="15"/>
        <v>0.5</v>
      </c>
      <c r="I53" s="7">
        <f>SUM(I44:I52)</f>
        <v>2</v>
      </c>
      <c r="J53" s="7">
        <f>SUM(J44:J52)</f>
        <v>0</v>
      </c>
      <c r="K53" s="7">
        <f t="shared" si="16"/>
        <v>0</v>
      </c>
      <c r="L53" s="7">
        <f>SUM(L44:L52)</f>
        <v>19</v>
      </c>
      <c r="M53" s="7">
        <f>SUM(M44:M52)</f>
        <v>11</v>
      </c>
      <c r="N53" s="7">
        <f t="shared" si="19"/>
        <v>0.57894736842105265</v>
      </c>
    </row>
    <row r="54" spans="1:14" ht="22" customHeight="1" x14ac:dyDescent="0.25"/>
    <row r="55" spans="1:14" ht="22" customHeight="1" x14ac:dyDescent="0.25">
      <c r="A55" s="68" t="s">
        <v>73</v>
      </c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8"/>
    </row>
    <row r="56" spans="1:14" ht="22" customHeight="1" x14ac:dyDescent="0.25">
      <c r="A56" s="3" t="s">
        <v>139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140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141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142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143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144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145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8" t="s">
        <v>80</v>
      </c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8"/>
    </row>
    <row r="65" spans="1:14" ht="22" customHeight="1" x14ac:dyDescent="0.25">
      <c r="A65" s="3" t="s">
        <v>146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147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148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149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150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151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152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153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154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155</v>
      </c>
      <c r="B74" s="9"/>
      <c r="C74" s="10">
        <f>C53+C62+C73</f>
        <v>5</v>
      </c>
      <c r="D74" s="10">
        <f>D53+D62+D73</f>
        <v>5</v>
      </c>
      <c r="E74" s="10">
        <f t="shared" si="27"/>
        <v>1</v>
      </c>
      <c r="F74" s="10">
        <f>F53+F62+F73</f>
        <v>12</v>
      </c>
      <c r="G74" s="10">
        <f>G53+G62+G73</f>
        <v>6</v>
      </c>
      <c r="H74" s="10">
        <f t="shared" si="28"/>
        <v>0.5</v>
      </c>
      <c r="I74" s="10">
        <f>I53+I62+I73</f>
        <v>2</v>
      </c>
      <c r="J74" s="10">
        <f>J53+J62+J73</f>
        <v>0</v>
      </c>
      <c r="K74" s="10">
        <f t="shared" si="29"/>
        <v>0</v>
      </c>
      <c r="L74" s="10">
        <f>L53+L62+L73</f>
        <v>19</v>
      </c>
      <c r="M74" s="10">
        <f>M53+M62+M73</f>
        <v>11</v>
      </c>
      <c r="N74" s="10">
        <f t="shared" si="31"/>
        <v>0.57894736842105265</v>
      </c>
    </row>
    <row r="77" spans="1:14" ht="30" customHeight="1" x14ac:dyDescent="0.25">
      <c r="A77" s="70" t="s">
        <v>158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67" t="s">
        <v>159</v>
      </c>
      <c r="D79" s="57"/>
      <c r="E79" s="58"/>
      <c r="F79" s="69" t="s">
        <v>156</v>
      </c>
      <c r="G79" s="57"/>
      <c r="H79" s="58"/>
      <c r="I79" s="71" t="s">
        <v>113</v>
      </c>
      <c r="J79" s="57"/>
      <c r="K79" s="58"/>
    </row>
    <row r="80" spans="1:14" ht="24" customHeight="1" x14ac:dyDescent="0.25">
      <c r="A80" s="2" t="s">
        <v>50</v>
      </c>
      <c r="B80" s="2" t="s">
        <v>128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8" t="s">
        <v>53</v>
      </c>
      <c r="B81" s="57"/>
      <c r="C81" s="57"/>
      <c r="D81" s="57"/>
      <c r="E81" s="57"/>
      <c r="F81" s="57"/>
      <c r="G81" s="57"/>
      <c r="H81" s="57"/>
      <c r="I81" s="57"/>
      <c r="J81" s="57"/>
      <c r="K81" s="58"/>
    </row>
    <row r="82" spans="1:11" ht="22" customHeight="1" x14ac:dyDescent="0.25">
      <c r="A82" s="3" t="s">
        <v>129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130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131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132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133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134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135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136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137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138</v>
      </c>
      <c r="B91" s="6"/>
      <c r="C91" s="7">
        <f>SUM(C82:C90)</f>
        <v>37</v>
      </c>
      <c r="D91" s="7">
        <f>SUM(D82:D90)</f>
        <v>35</v>
      </c>
      <c r="E91" s="7">
        <f t="shared" si="35"/>
        <v>0.94594594594594594</v>
      </c>
      <c r="F91" s="7">
        <f>SUM(F82:F90)</f>
        <v>19</v>
      </c>
      <c r="G91" s="7">
        <f>SUM(G82:G90)</f>
        <v>11</v>
      </c>
      <c r="H91" s="7">
        <f t="shared" si="38"/>
        <v>0.57894736842105265</v>
      </c>
      <c r="I91" s="7">
        <f>SUM(I82:I90)</f>
        <v>56</v>
      </c>
      <c r="J91" s="7">
        <f>SUM(J82:J90)</f>
        <v>46</v>
      </c>
      <c r="K91" s="7">
        <f t="shared" si="41"/>
        <v>0.8214285714285714</v>
      </c>
    </row>
    <row r="92" spans="1:11" ht="22" customHeight="1" x14ac:dyDescent="0.25"/>
    <row r="93" spans="1:11" ht="22" customHeight="1" x14ac:dyDescent="0.25">
      <c r="A93" s="68" t="s">
        <v>73</v>
      </c>
      <c r="B93" s="57"/>
      <c r="C93" s="57"/>
      <c r="D93" s="57"/>
      <c r="E93" s="57"/>
      <c r="F93" s="57"/>
      <c r="G93" s="57"/>
      <c r="H93" s="57"/>
      <c r="I93" s="57"/>
      <c r="J93" s="57"/>
      <c r="K93" s="58"/>
    </row>
    <row r="94" spans="1:11" ht="22" customHeight="1" x14ac:dyDescent="0.25">
      <c r="A94" s="3" t="s">
        <v>139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140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141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142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143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144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145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8" t="s">
        <v>80</v>
      </c>
      <c r="B102" s="57"/>
      <c r="C102" s="57"/>
      <c r="D102" s="57"/>
      <c r="E102" s="57"/>
      <c r="F102" s="57"/>
      <c r="G102" s="57"/>
      <c r="H102" s="57"/>
      <c r="I102" s="57"/>
      <c r="J102" s="57"/>
      <c r="K102" s="58"/>
    </row>
    <row r="103" spans="1:11" ht="22" customHeight="1" x14ac:dyDescent="0.25">
      <c r="A103" s="3" t="s">
        <v>146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147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148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149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150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151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152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153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154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155</v>
      </c>
      <c r="B112" s="9"/>
      <c r="C112" s="10">
        <f>C91+C100+C111</f>
        <v>37</v>
      </c>
      <c r="D112" s="10">
        <f>D91+D100+D111</f>
        <v>35</v>
      </c>
      <c r="E112" s="10">
        <f t="shared" si="51"/>
        <v>0.94594594594594594</v>
      </c>
      <c r="F112" s="10">
        <f>F91+F100+F111</f>
        <v>19</v>
      </c>
      <c r="G112" s="10">
        <f>G91+G100+G111</f>
        <v>11</v>
      </c>
      <c r="H112" s="10">
        <f t="shared" si="53"/>
        <v>0.57894736842105265</v>
      </c>
      <c r="I112" s="10">
        <f>I91+I100+I111</f>
        <v>56</v>
      </c>
      <c r="J112" s="10">
        <f>J91+J100+J111</f>
        <v>46</v>
      </c>
      <c r="K112" s="10">
        <f t="shared" si="55"/>
        <v>0.8214285714285714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L34" sqref="L34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54" t="s">
        <v>160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161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162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170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171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172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173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174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175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176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178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179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180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181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183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184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185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186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187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188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189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190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191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192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193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194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195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196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197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198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199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200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201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202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203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204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205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206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207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208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209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210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211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210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72" t="s">
        <v>212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161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162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214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215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216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217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218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219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220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221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222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223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224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225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226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227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229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230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231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210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232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233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234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235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236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237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238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239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240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241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242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243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244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245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246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247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4" t="s">
        <v>248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161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162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249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250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251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252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253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254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256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257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258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259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260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261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262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263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264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265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266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267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268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269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270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abSelected="1" topLeftCell="A8" zoomScale="86" workbookViewId="0">
      <selection activeCell="D21" sqref="D21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54" t="s">
        <v>271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161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162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272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273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274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276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277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278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280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281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282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283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284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285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286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287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288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289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290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291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292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293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294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295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296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297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298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299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300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301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302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303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304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305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256</v>
      </c>
      <c r="D39" s="18">
        <f>SUM(D5:D38)</f>
        <v>209</v>
      </c>
      <c r="E39" s="18">
        <f t="shared" si="20"/>
        <v>0.81640625</v>
      </c>
      <c r="F39" s="18">
        <f>SUM(F5:F38)</f>
        <v>61</v>
      </c>
      <c r="G39" s="18">
        <f>SUM(G5:G38)</f>
        <v>50</v>
      </c>
      <c r="H39" s="18">
        <f t="shared" si="21"/>
        <v>0.81967213114754101</v>
      </c>
      <c r="I39" s="18">
        <f>SUM(I5:I38)</f>
        <v>195</v>
      </c>
      <c r="J39" s="18">
        <f>SUM(J5:J38)</f>
        <v>159</v>
      </c>
      <c r="K39" s="18">
        <f t="shared" si="23"/>
        <v>0.81538461538461537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256</v>
      </c>
      <c r="D41" s="21">
        <f>D39+O39</f>
        <v>209</v>
      </c>
      <c r="E41" s="21">
        <f>IF(AND(C41&lt;&gt;"",D41&lt;&gt;""),D41/C41,"")</f>
        <v>0.81640625</v>
      </c>
      <c r="F41" s="21">
        <f>F39+Q39</f>
        <v>61</v>
      </c>
      <c r="G41" s="21">
        <f>G39+R39</f>
        <v>50</v>
      </c>
      <c r="H41" s="21">
        <f>IF(AND(F41&lt;&gt;"",G41&lt;&gt;""),G41/F41,"")</f>
        <v>0.81967213114754101</v>
      </c>
      <c r="I41" s="21">
        <f>I39+T39</f>
        <v>195</v>
      </c>
      <c r="J41" s="21">
        <f>J39+U39</f>
        <v>159</v>
      </c>
      <c r="K41" s="21">
        <f>IF(AND(I41&lt;&gt;"",J41&lt;&gt;""),J41/I41,"")</f>
        <v>0.81538461538461537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U13" sqref="U13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76" t="s">
        <v>1</v>
      </c>
      <c r="C3" s="55"/>
      <c r="D3" s="55"/>
      <c r="E3" s="55"/>
      <c r="F3" s="55"/>
      <c r="G3" s="76" t="s">
        <v>2</v>
      </c>
      <c r="H3" s="55"/>
      <c r="I3" s="55"/>
      <c r="J3" s="55"/>
      <c r="K3" s="55"/>
      <c r="L3" s="76" t="s">
        <v>3</v>
      </c>
      <c r="M3" s="55"/>
      <c r="N3" s="55"/>
      <c r="O3" s="55"/>
      <c r="P3" s="55"/>
      <c r="Q3" s="76" t="s">
        <v>4</v>
      </c>
      <c r="R3" s="55"/>
      <c r="S3" s="55"/>
      <c r="T3" s="55"/>
      <c r="U3" s="55"/>
      <c r="V3" s="75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/>
      <c r="C10" s="48"/>
      <c r="D10" s="48">
        <v>5</v>
      </c>
      <c r="E10" s="48"/>
      <c r="F10" s="48" t="str">
        <f t="shared" si="0"/>
        <v/>
      </c>
      <c r="G10" s="48"/>
      <c r="H10" s="48"/>
      <c r="I10" s="48">
        <v>5</v>
      </c>
      <c r="J10" s="48"/>
      <c r="K10" s="48" t="str">
        <f t="shared" si="1"/>
        <v/>
      </c>
      <c r="L10" s="48"/>
      <c r="M10" s="48"/>
      <c r="N10" s="48">
        <v>5</v>
      </c>
      <c r="O10" s="48"/>
      <c r="P10" s="48" t="str">
        <f t="shared" si="2"/>
        <v/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0</v>
      </c>
      <c r="X10" s="48">
        <f t="shared" si="6"/>
        <v>0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2</v>
      </c>
      <c r="F21" s="46">
        <f t="shared" si="0"/>
        <v>2.5000000000000001E-2</v>
      </c>
      <c r="G21" s="50"/>
      <c r="H21" s="50"/>
      <c r="I21" s="46">
        <f>SUM(I5:I20)</f>
        <v>80</v>
      </c>
      <c r="J21" s="46">
        <f>SUM(J5:J20)</f>
        <v>6</v>
      </c>
      <c r="K21" s="46">
        <f t="shared" si="1"/>
        <v>7.4999999999999997E-2</v>
      </c>
      <c r="L21" s="50"/>
      <c r="M21" s="50"/>
      <c r="N21" s="46">
        <f>SUM(N5:N20)</f>
        <v>80</v>
      </c>
      <c r="O21" s="46">
        <f>SUM(O5:O20)</f>
        <v>8</v>
      </c>
      <c r="P21" s="46">
        <f t="shared" si="2"/>
        <v>0.1</v>
      </c>
      <c r="Q21" s="50"/>
      <c r="R21" s="50"/>
      <c r="S21" s="46">
        <f>SUM(S5:S20)</f>
        <v>80</v>
      </c>
      <c r="T21" s="46">
        <f>SUM(T5:T20)</f>
        <v>4</v>
      </c>
      <c r="U21" s="46">
        <f t="shared" si="3"/>
        <v>0.05</v>
      </c>
      <c r="V21" s="46">
        <f>SUM(V5:V20)</f>
        <v>320</v>
      </c>
      <c r="W21" s="46">
        <f>SUM(W5:W20)</f>
        <v>20</v>
      </c>
      <c r="X21" s="46">
        <f t="shared" si="6"/>
        <v>6.25E-2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2</v>
      </c>
      <c r="F23" s="53">
        <f>IF(AND(D23&lt;&gt;"",E23&lt;&gt;""),E23/D23,"")</f>
        <v>2.5000000000000001E-2</v>
      </c>
      <c r="G23" s="52"/>
      <c r="H23" s="52"/>
      <c r="I23" s="53">
        <f>I21</f>
        <v>80</v>
      </c>
      <c r="J23" s="53">
        <f>J21</f>
        <v>6</v>
      </c>
      <c r="K23" s="53">
        <f>IF(AND(I23&lt;&gt;"",J23&lt;&gt;""),J23/I23,"")</f>
        <v>7.4999999999999997E-2</v>
      </c>
      <c r="L23" s="52"/>
      <c r="M23" s="52"/>
      <c r="N23" s="53">
        <f>N21</f>
        <v>80</v>
      </c>
      <c r="O23" s="53">
        <f>O21</f>
        <v>8</v>
      </c>
      <c r="P23" s="53">
        <f>IF(AND(N23&lt;&gt;"",O23&lt;&gt;""),O23/N23,"")</f>
        <v>0.1</v>
      </c>
      <c r="Q23" s="52"/>
      <c r="R23" s="52"/>
      <c r="S23" s="53">
        <f>S21</f>
        <v>80</v>
      </c>
      <c r="T23" s="53">
        <f>T21</f>
        <v>4</v>
      </c>
      <c r="U23" s="53">
        <f>IF(AND(S23&lt;&gt;"",T23&lt;&gt;""),T23/S23,"")</f>
        <v>0.05</v>
      </c>
      <c r="V23" s="53">
        <f>V21</f>
        <v>320</v>
      </c>
      <c r="W23" s="53">
        <f>W21</f>
        <v>20</v>
      </c>
      <c r="X23" s="53">
        <f>IF(AND(V23&lt;&gt;"",W23&lt;&gt;""),W23/V23,"")</f>
        <v>6.25E-2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2026-06-23T07:54:02Z</dcterms:modified>
</cp:coreProperties>
</file>