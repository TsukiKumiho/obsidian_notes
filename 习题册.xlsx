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7CFEFA7A-C95F-4397-B5A4-280D648E65C3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<sst xmlns="http://schemas.openxmlformats.org/spreadsheetml/2006/main" count="566" uniqueCount="307">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</sst>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/>
    <xf numFmtId="0" fontId="16" fillId="3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7"/>
      <c r="C1" s="57"/>
      <c r="D1" s="57"/>
      <c r="E1" s="57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4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4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4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tabSelected="1" workbookViewId="0">
      <selection activeCell="J11" sqref="J1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6" t="s">
        <v>114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ht="6" customHeight="1" x14ac:dyDescent="0.25"/>
    <row r="3" spans="1:14" ht="22" customHeight="1" x14ac:dyDescent="0.25">
      <c r="A3" s="31"/>
      <c r="B3" s="31"/>
      <c r="C3" s="58" t="s">
        <v>115</v>
      </c>
      <c r="D3" s="59"/>
      <c r="E3" s="60"/>
      <c r="F3" s="63" t="s">
        <v>305</v>
      </c>
      <c r="G3" s="59"/>
      <c r="H3" s="60"/>
      <c r="I3" s="62" t="s">
        <v>116</v>
      </c>
      <c r="J3" s="59"/>
      <c r="K3" s="60"/>
      <c r="L3" s="61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83</v>
      </c>
      <c r="D14" s="37">
        <f>SUM(D5:D13)</f>
        <v>71</v>
      </c>
      <c r="E14" s="37">
        <f t="shared" si="0"/>
        <v>0.85542168674698793</v>
      </c>
      <c r="F14" s="37">
        <f>SUM(F5:F13)</f>
        <v>73</v>
      </c>
      <c r="G14" s="37">
        <f>SUM(G5:G13)</f>
        <v>60</v>
      </c>
      <c r="H14" s="37">
        <f t="shared" si="1"/>
        <v>0.82191780821917804</v>
      </c>
      <c r="I14" s="37">
        <f>SUM(I5:I13)</f>
        <v>133</v>
      </c>
      <c r="J14" s="37">
        <f>SUM(J5:J13)</f>
        <v>92</v>
      </c>
      <c r="K14" s="37">
        <f t="shared" si="2"/>
        <v>0.69172932330827064</v>
      </c>
      <c r="L14" s="37">
        <f>SUM(L5:L13)</f>
        <v>289</v>
      </c>
      <c r="M14" s="37">
        <f>SUM(M5:M13)</f>
        <v>223</v>
      </c>
      <c r="N14" s="37">
        <f t="shared" si="5"/>
        <v>0.77162629757785473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83</v>
      </c>
      <c r="D16" s="40">
        <f>D14</f>
        <v>71</v>
      </c>
      <c r="E16" s="40">
        <f>IF(AND(C16&lt;&gt;"",D16&lt;&gt;""),D16/C16,"")</f>
        <v>0.85542168674698793</v>
      </c>
      <c r="F16" s="40">
        <f>F14</f>
        <v>73</v>
      </c>
      <c r="G16" s="40">
        <f>G14</f>
        <v>60</v>
      </c>
      <c r="H16" s="40">
        <f>IF(AND(F16&lt;&gt;"",G16&lt;&gt;""),G16/F16,"")</f>
        <v>0.82191780821917804</v>
      </c>
      <c r="I16" s="40">
        <f>I14</f>
        <v>133</v>
      </c>
      <c r="J16" s="40">
        <f>J14</f>
        <v>92</v>
      </c>
      <c r="K16" s="40">
        <f>IF(AND(I16&lt;&gt;"",J16&lt;&gt;""),J16/I16,"")</f>
        <v>0.69172932330827064</v>
      </c>
      <c r="L16" s="40">
        <f>L14</f>
        <v>289</v>
      </c>
      <c r="M16" s="40">
        <f>M14</f>
        <v>223</v>
      </c>
      <c r="N16" s="40">
        <f>IF(AND(L16&lt;&gt;"",M16&lt;&gt;""),M16/L16,"")</f>
        <v>0.77162629757785473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6" t="s">
        <v>126</v>
      </c>
      <c r="B1" s="57"/>
      <c r="C1" s="57"/>
      <c r="D1" s="57"/>
      <c r="E1" s="57"/>
      <c r="F1" s="57"/>
      <c r="G1" s="57"/>
      <c r="H1" s="57"/>
      <c r="I1" s="57"/>
      <c r="J1" s="57"/>
      <c r="K1" s="57"/>
    </row>
    <row r="2" spans="1:11" ht="6" customHeight="1" x14ac:dyDescent="0.25"/>
    <row r="3" spans="1:11" ht="24" customHeight="1" x14ac:dyDescent="0.25">
      <c r="A3" s="1"/>
      <c r="B3" s="1"/>
      <c r="C3" s="71" t="s">
        <v>52</v>
      </c>
      <c r="D3" s="59"/>
      <c r="E3" s="60"/>
      <c r="F3" s="69" t="s">
        <v>106</v>
      </c>
      <c r="G3" s="59"/>
      <c r="H3" s="60"/>
      <c r="I3" s="68" t="s">
        <v>47</v>
      </c>
      <c r="J3" s="59"/>
      <c r="K3" s="60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7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67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7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72" t="s">
        <v>155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</row>
    <row r="40" spans="1:15" ht="6" customHeight="1" x14ac:dyDescent="0.25"/>
    <row r="41" spans="1:15" ht="24" customHeight="1" x14ac:dyDescent="0.25">
      <c r="A41" s="1"/>
      <c r="B41" s="1"/>
      <c r="C41" s="71" t="s">
        <v>52</v>
      </c>
      <c r="D41" s="59"/>
      <c r="E41" s="60"/>
      <c r="F41" s="69" t="s">
        <v>106</v>
      </c>
      <c r="G41" s="59"/>
      <c r="H41" s="60"/>
      <c r="I41" s="70" t="s">
        <v>156</v>
      </c>
      <c r="J41" s="59"/>
      <c r="K41" s="60"/>
      <c r="L41" s="68" t="s">
        <v>47</v>
      </c>
      <c r="M41" s="59"/>
      <c r="N41" s="60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67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67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7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72" t="s">
        <v>157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4" ht="6" customHeight="1" x14ac:dyDescent="0.25"/>
    <row r="79" spans="1:14" ht="24" customHeight="1" x14ac:dyDescent="0.25">
      <c r="A79" s="1"/>
      <c r="B79" s="1"/>
      <c r="C79" s="71" t="s">
        <v>158</v>
      </c>
      <c r="D79" s="59"/>
      <c r="E79" s="60"/>
      <c r="F79" s="69" t="s">
        <v>155</v>
      </c>
      <c r="G79" s="59"/>
      <c r="H79" s="60"/>
      <c r="I79" s="68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7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67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7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3" t="s">
        <v>159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6" t="s">
        <v>211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3" t="s">
        <v>247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3" t="s">
        <v>270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E14" sqref="E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24" ht="6" customHeight="1" x14ac:dyDescent="0.25"/>
    <row r="3" spans="1:24" ht="22" customHeight="1" x14ac:dyDescent="0.25">
      <c r="A3" s="45"/>
      <c r="B3" s="78" t="s">
        <v>1</v>
      </c>
      <c r="C3" s="57"/>
      <c r="D3" s="57"/>
      <c r="E3" s="57"/>
      <c r="F3" s="57"/>
      <c r="G3" s="78" t="s">
        <v>2</v>
      </c>
      <c r="H3" s="57"/>
      <c r="I3" s="57"/>
      <c r="J3" s="57"/>
      <c r="K3" s="57"/>
      <c r="L3" s="78" t="s">
        <v>3</v>
      </c>
      <c r="M3" s="57"/>
      <c r="N3" s="57"/>
      <c r="O3" s="57"/>
      <c r="P3" s="57"/>
      <c r="Q3" s="78" t="s">
        <v>4</v>
      </c>
      <c r="R3" s="57"/>
      <c r="S3" s="57"/>
      <c r="T3" s="57"/>
      <c r="U3" s="57"/>
      <c r="V3" s="77" t="s">
        <v>5</v>
      </c>
      <c r="W3" s="57"/>
      <c r="X3" s="57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48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48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48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48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48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48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48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48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48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48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48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48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48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48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48"/>
      <c r="H13" s="48"/>
      <c r="I13" s="48">
        <v>5</v>
      </c>
      <c r="J13" s="55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5</v>
      </c>
      <c r="X13" s="48">
        <f t="shared" si="6"/>
        <v>0.25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26</v>
      </c>
      <c r="F21" s="46">
        <f t="shared" si="0"/>
        <v>0.32500000000000001</v>
      </c>
      <c r="G21" s="50"/>
      <c r="H21" s="50"/>
      <c r="I21" s="46">
        <f>SUM(I5:I20)</f>
        <v>80</v>
      </c>
      <c r="J21" s="46">
        <f>SUM(J5:J20)</f>
        <v>22</v>
      </c>
      <c r="K21" s="46">
        <f t="shared" si="1"/>
        <v>0.27500000000000002</v>
      </c>
      <c r="L21" s="50"/>
      <c r="M21" s="50"/>
      <c r="N21" s="46">
        <f>SUM(N5:N20)</f>
        <v>80</v>
      </c>
      <c r="O21" s="46">
        <f>SUM(O5:O20)</f>
        <v>32</v>
      </c>
      <c r="P21" s="46">
        <f t="shared" si="2"/>
        <v>0.4</v>
      </c>
      <c r="Q21" s="50"/>
      <c r="R21" s="50"/>
      <c r="S21" s="46">
        <f>SUM(S5:S20)</f>
        <v>80</v>
      </c>
      <c r="T21" s="46">
        <f>SUM(T5:T20)</f>
        <v>21</v>
      </c>
      <c r="U21" s="46">
        <f t="shared" si="3"/>
        <v>0.26250000000000001</v>
      </c>
      <c r="V21" s="46">
        <f>SUM(V5:V20)</f>
        <v>320</v>
      </c>
      <c r="W21" s="46">
        <f>SUM(W5:W20)</f>
        <v>101</v>
      </c>
      <c r="X21" s="46">
        <f t="shared" si="6"/>
        <v>0.31562499999999999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26</v>
      </c>
      <c r="F23" s="53">
        <f>IF(AND(D23&lt;&gt;"",E23&lt;&gt;""),E23/D23,"")</f>
        <v>0.32500000000000001</v>
      </c>
      <c r="G23" s="52"/>
      <c r="H23" s="52"/>
      <c r="I23" s="53">
        <f>I21</f>
        <v>80</v>
      </c>
      <c r="J23" s="53">
        <f>J21</f>
        <v>22</v>
      </c>
      <c r="K23" s="53">
        <f>IF(AND(I23&lt;&gt;"",J23&lt;&gt;""),J23/I23,"")</f>
        <v>0.27500000000000002</v>
      </c>
      <c r="L23" s="52"/>
      <c r="M23" s="52"/>
      <c r="N23" s="53">
        <f>N21</f>
        <v>80</v>
      </c>
      <c r="O23" s="53">
        <f>O21</f>
        <v>32</v>
      </c>
      <c r="P23" s="53">
        <f>IF(AND(N23&lt;&gt;"",O23&lt;&gt;""),O23/N23,"")</f>
        <v>0.4</v>
      </c>
      <c r="Q23" s="52"/>
      <c r="R23" s="52"/>
      <c r="S23" s="53">
        <f>S21</f>
        <v>80</v>
      </c>
      <c r="T23" s="53">
        <f>T21</f>
        <v>21</v>
      </c>
      <c r="U23" s="53">
        <f>IF(AND(S23&lt;&gt;"",T23&lt;&gt;""),T23/S23,"")</f>
        <v>0.26250000000000001</v>
      </c>
      <c r="V23" s="53">
        <f>V21</f>
        <v>320</v>
      </c>
      <c r="W23" s="53">
        <f>W21</f>
        <v>101</v>
      </c>
      <c r="X23" s="53">
        <f>IF(AND(V23&lt;&gt;"",W23&lt;&gt;""),W23/V23,"")</f>
        <v>0.31562499999999999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2026-07-19T03:00:30Z</dcterms:modified>
</cp:coreProperties>
</file>