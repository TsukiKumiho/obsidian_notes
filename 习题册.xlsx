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29530367-20BA-495C-9E65-0C9C4DC4BC6F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<sst xmlns="http://schemas.openxmlformats.org/spreadsheetml/2006/main" count="568" uniqueCount="307">
  <si>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</si>
  <si>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</si>
  <si>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</si>
  <si>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</si>
  <si>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</si>
  <si>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</si>
  <si>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</si>
  <si>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</si>
  <si>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</si>
  <si>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</si>
  <si>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</si>
  <si>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</si>
  <si>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</si>
  <si>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</si>
  <si>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</si>
  <si>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</si>
  <si>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</si>
  <si>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</si>
  <si>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</si>
  <si>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</si>
  <si>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</si>
  <si>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</si>
  <si>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</si>
  <si>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</si>
  <si>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</si>
  <si>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</si>
  <si>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</si>
  <si>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</si>
  <si>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</si>
  <si>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</si>
  <si>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</si>
  <si>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</si>
  <si>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</si>
  <si>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</si>
  <si>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</si>
  <si>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</si>
  <si>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</si>
  <si>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</si>
  <si>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</si>
  <si>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</si>
  <si>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</si>
  <si>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</si>
  <si>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</si>
  <si>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</si>
  <si>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</si>
  <si>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</si>
  <si>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</si>
  <si>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</si>
  <si>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</si>
  <si>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</si>
  <si>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</si>
  <si>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</si>
  <si>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</si>
  <si>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</si>
  <si>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</si>
  <si>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</si>
  <si>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</si>
  <si>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</si>
  <si>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</si>
  <si>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</si>
  <si>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</si>
  <si>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</si>
  <si>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</si>
  <si>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</si>
  <si>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</si>
  <si>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</si>
  <si>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</si>
  <si>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</si>
  <si>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</si>
  <si>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</si>
  <si>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</si>
  <si>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</si>
  <si>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</si>
  <si>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</si>
  <si>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</si>
  <si>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</si>
  <si>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</si>
  <si>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</si>
  <si>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</si>
  <si>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</si>
  <si>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</si>
  <si>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</si>
  <si>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</si>
  <si>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</si>
  <si>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</si>
  <si>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</si>
  <si>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</si>
  <si>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</si>
  <si>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</si>
  <si>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</si>
  <si>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</si>
  <si>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</si>
  <si>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</si>
  <si>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</si>
  <si>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</si>
  <si>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</si>
  <si>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</si>
  <si>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</si>
  <si>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</si>
  <si>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</si>
  <si>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</si>
  <si>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</si>
  <si>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</si>
  <si>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</si>
  <si>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</si>
  <si>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</si>
  <si>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</si>
  <si>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</si>
  <si>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</si>
  <si>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</si>
  <si>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</si>
  <si>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</si>
  <si>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</si>
  <si>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</si>
  <si>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</si>
  <si>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</si>
  <si>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</si>
  <si>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</si>
  <si>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</si>
  <si>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</si>
  <si>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</si>
  <si>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</si>
  <si>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</si>
  <si>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</si>
  <si>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</si>
  <si>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</si>
  <si>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</si>
  <si>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</si>
  <si>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</si>
  <si>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</si>
  <si>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</si>
  <si>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</si>
  <si>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</si>
  <si>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</si>
  <si>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</si>
  <si>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</si>
  <si>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</si>
  <si>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</si>
  <si>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</si>
  <si>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</si>
  <si>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</si>
  <si>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</si>
  <si>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</si>
  <si>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</si>
  <si>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</si>
  <si>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</si>
  <si>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</si>
  <si>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</si>
  <si>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</si>
  <si>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</si>
  <si>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</si>
  <si>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</si>
  <si>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</si>
  <si>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</si>
  <si>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</si>
  <si>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</si>
  <si>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</si>
  <si>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</si>
  <si>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</si>
  <si>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</si>
  <si>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</si>
  <si>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</si>
  <si>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</si>
  <si>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</si>
  <si>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</si>
  <si>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</si>
  <si>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</si>
  <si>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</si>
  <si>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</si>
  <si>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</si>
  <si>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</si>
  <si>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</si>
  <si>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</si>
  <si>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</si>
  <si>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</si>
  <si>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</si>
  <si>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</si>
  <si>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</si>
  <si>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</si>
  <si>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</si>
  <si>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</si>
  <si>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</si>
  <si>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</si>
  <si>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</si>
  <si>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</si>
  <si>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</si>
  <si>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</si>
  <si>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</si>
  <si>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</si>
  <si>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</si>
  <si>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</si>
  <si>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</si>
  <si>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</si>
  <si>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</si>
  <si>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</si>
  <si>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</si>
  <si>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</si>
  <si>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</si>
  <si>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</si>
  <si>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</si>
  <si>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</si>
  <si>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</si>
  <si>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</si>
  <si>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</si>
  <si>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</si>
  <si>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</si>
  <si>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</si>
  <si>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</si>
  <si>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</si>
  <si>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</si>
  <si>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</si>
  <si>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</si>
  <si>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</si>
  <si>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</si>
  <si>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</si>
  <si>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</si>
  <si>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</si>
  <si>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</si>
  <si>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</si>
  <si>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</si>
  <si>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</si>
  <si>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</si>
  <si>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</si>
  <si>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</si>
  <si>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</si>
  <si>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</si>
  <si>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</si>
  <si>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</si>
  <si>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</si>
  <si>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</si>
  <si>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</si>
  <si>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</si>
  <si>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</si>
  <si>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</si>
  <si>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</si>
  <si>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</si>
  <si>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</si>
  <si>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</si>
  <si>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</si>
  <si>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</si>
  <si>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</si>
  <si>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</si>
  <si>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</si>
  <si>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</si>
  <si>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</si>
  <si>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</si>
  <si>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</si>
  <si>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</si>
  <si>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</si>
  <si>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</si>
  <si>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</si>
  <si>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</si>
  <si>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</si>
  <si>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</si>
  <si>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</si>
  <si>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</si>
  <si>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</si>
  <si>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</si>
  <si>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</si>
  <si>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</si>
  <si>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</si>
  <si>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</si>
  <si>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</si>
  <si>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</si>
  <si>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</si>
  <si>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</si>
  <si>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</si>
  <si>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</si>
  <si>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</si>
  <si>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</si>
  <si>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</si>
  <si>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</si>
  <si>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</si>
  <si>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</si>
  <si>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</si>
  <si>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</si>
  <si>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</si>
  <si>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</si>
  <si>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</si>
  <si>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</si>
  <si>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</si>
  <si>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</si>
  <si>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</si>
  <si>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</si>
  <si>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</si>
  <si>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</si>
  <si>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</si>
  <si>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</si>
  <si>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</si>
  <si>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</si>
  <si>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</si>
  <si>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</si>
  <si>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</si>
  <si>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</si>
  <si>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</si>
  <si>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</si>
  <si>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</si>
  <si>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</si>
  <si>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</si>
  <si>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</si>
  <si>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</si>
  <si>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</si>
  <si>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</si>
  <si>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</si>
  <si>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</si>
  <si>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</si>
  <si>
    <t>综合篇中三个物理应用题目未做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</si>
</sst>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/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2" t="s">
        <v>49</v>
      </c>
      <c r="B1" s="56"/>
      <c r="C1" s="56"/>
      <c r="D1" s="56"/>
      <c r="E1" s="56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59" t="s">
        <v>52</v>
      </c>
      <c r="B4" s="60"/>
      <c r="C4" s="60"/>
      <c r="D4" s="60"/>
      <c r="E4" s="61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59" t="s">
        <v>88</v>
      </c>
      <c r="B41" s="60"/>
      <c r="C41" s="60"/>
      <c r="D41" s="60"/>
      <c r="E41" s="61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59" t="s">
        <v>106</v>
      </c>
      <c r="B83" s="60"/>
      <c r="C83" s="60"/>
      <c r="D83" s="60"/>
      <c r="E83" s="61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tabSelected="1" workbookViewId="0">
      <selection activeCell="J9" sqref="J9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3" t="s">
        <v>114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</row>
    <row r="2" spans="1:14" ht="6" customHeight="1" x14ac:dyDescent="0.25"/>
    <row r="3" spans="1:14" ht="22" customHeight="1" x14ac:dyDescent="0.25">
      <c r="A3" s="31"/>
      <c r="B3" s="31"/>
      <c r="C3" s="64" t="s">
        <v>115</v>
      </c>
      <c r="D3" s="60"/>
      <c r="E3" s="61"/>
      <c r="F3" s="67" t="s">
        <v>305</v>
      </c>
      <c r="G3" s="60"/>
      <c r="H3" s="61"/>
      <c r="I3" s="66" t="s">
        <v>116</v>
      </c>
      <c r="J3" s="60"/>
      <c r="K3" s="61"/>
      <c r="L3" s="65" t="s">
        <v>47</v>
      </c>
      <c r="M3" s="60"/>
      <c r="N3" s="61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>
        <v>702</v>
      </c>
      <c r="C7" s="34">
        <v>13</v>
      </c>
      <c r="D7" s="34">
        <v>11</v>
      </c>
      <c r="E7" s="34">
        <f t="shared" si="0"/>
        <v>0.84615384615384615</v>
      </c>
      <c r="F7" s="34">
        <v>24</v>
      </c>
      <c r="G7" s="34">
        <v>18</v>
      </c>
      <c r="H7" s="34">
        <f t="shared" si="1"/>
        <v>0.75</v>
      </c>
      <c r="I7" s="54">
        <v>25</v>
      </c>
      <c r="J7" s="34">
        <v>13</v>
      </c>
      <c r="K7" s="34">
        <f t="shared" si="2"/>
        <v>0.52</v>
      </c>
      <c r="L7" s="34">
        <f t="shared" si="3"/>
        <v>62</v>
      </c>
      <c r="M7" s="34">
        <f t="shared" si="4"/>
        <v>42</v>
      </c>
      <c r="N7" s="34">
        <f t="shared" si="5"/>
        <v>0.67741935483870963</v>
      </c>
    </row>
    <row r="8" spans="1:14" ht="22" customHeight="1" x14ac:dyDescent="0.25">
      <c r="A8" s="33" t="s">
        <v>120</v>
      </c>
      <c r="B8" s="34">
        <v>711</v>
      </c>
      <c r="C8" s="34">
        <v>7</v>
      </c>
      <c r="D8" s="34">
        <v>7</v>
      </c>
      <c r="E8" s="34">
        <f t="shared" si="0"/>
        <v>1</v>
      </c>
      <c r="F8" s="34">
        <v>8</v>
      </c>
      <c r="G8" s="34">
        <v>8</v>
      </c>
      <c r="H8" s="34">
        <f t="shared" si="1"/>
        <v>1</v>
      </c>
      <c r="I8" s="34">
        <v>19</v>
      </c>
      <c r="J8" s="34">
        <v>13</v>
      </c>
      <c r="K8" s="34">
        <f t="shared" si="2"/>
        <v>0.68421052631578949</v>
      </c>
      <c r="L8" s="34">
        <f t="shared" si="3"/>
        <v>34</v>
      </c>
      <c r="M8" s="34">
        <f t="shared" si="4"/>
        <v>28</v>
      </c>
      <c r="N8" s="34">
        <f t="shared" si="5"/>
        <v>0.82352941176470584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55</v>
      </c>
      <c r="D14" s="37">
        <f>SUM(D5:D13)</f>
        <v>46</v>
      </c>
      <c r="E14" s="37">
        <f t="shared" si="0"/>
        <v>0.83636363636363631</v>
      </c>
      <c r="F14" s="37">
        <f>SUM(F5:F13)</f>
        <v>51</v>
      </c>
      <c r="G14" s="37">
        <f>SUM(G5:G13)</f>
        <v>44</v>
      </c>
      <c r="H14" s="37">
        <f t="shared" si="1"/>
        <v>0.86274509803921573</v>
      </c>
      <c r="I14" s="37">
        <f>SUM(I5:I13)</f>
        <v>93</v>
      </c>
      <c r="J14" s="37">
        <f>SUM(J5:J13)</f>
        <v>62</v>
      </c>
      <c r="K14" s="37">
        <f t="shared" si="2"/>
        <v>0.66666666666666663</v>
      </c>
      <c r="L14" s="37">
        <f>SUM(L5:L13)</f>
        <v>199</v>
      </c>
      <c r="M14" s="37">
        <f>SUM(M5:M13)</f>
        <v>152</v>
      </c>
      <c r="N14" s="37">
        <f t="shared" si="5"/>
        <v>0.76381909547738691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55</v>
      </c>
      <c r="D16" s="40">
        <f>D14</f>
        <v>46</v>
      </c>
      <c r="E16" s="40">
        <f>IF(AND(C16&lt;&gt;"",D16&lt;&gt;""),D16/C16,"")</f>
        <v>0.83636363636363631</v>
      </c>
      <c r="F16" s="40">
        <f>F14</f>
        <v>51</v>
      </c>
      <c r="G16" s="40">
        <f>G14</f>
        <v>44</v>
      </c>
      <c r="H16" s="40">
        <f>IF(AND(F16&lt;&gt;"",G16&lt;&gt;""),G16/F16,"")</f>
        <v>0.86274509803921573</v>
      </c>
      <c r="I16" s="40">
        <f>I14</f>
        <v>93</v>
      </c>
      <c r="J16" s="40">
        <f>J14</f>
        <v>62</v>
      </c>
      <c r="K16" s="40">
        <f>IF(AND(I16&lt;&gt;"",J16&lt;&gt;""),J16/I16,"")</f>
        <v>0.66666666666666663</v>
      </c>
      <c r="L16" s="40">
        <f>L14</f>
        <v>199</v>
      </c>
      <c r="M16" s="40">
        <f>M14</f>
        <v>152</v>
      </c>
      <c r="N16" s="40">
        <f>IF(AND(L16&lt;&gt;"",M16&lt;&gt;""),M16/L16,"")</f>
        <v>0.76381909547738691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O112"/>
  <sheetViews>
    <sheetView topLeftCell="A27" zoomScale="86" workbookViewId="0">
      <selection activeCell="T42" sqref="T42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68" t="s">
        <v>126</v>
      </c>
      <c r="B1" s="56"/>
      <c r="C1" s="56"/>
      <c r="D1" s="56"/>
      <c r="E1" s="56"/>
      <c r="F1" s="56"/>
      <c r="G1" s="56"/>
      <c r="H1" s="56"/>
      <c r="I1" s="56"/>
      <c r="J1" s="56"/>
      <c r="K1" s="56"/>
    </row>
    <row r="2" spans="1:11" ht="6" customHeight="1" x14ac:dyDescent="0.25"/>
    <row r="3" spans="1:11" ht="24" customHeight="1" x14ac:dyDescent="0.25">
      <c r="A3" s="1"/>
      <c r="B3" s="1"/>
      <c r="C3" s="73" t="s">
        <v>52</v>
      </c>
      <c r="D3" s="60"/>
      <c r="E3" s="61"/>
      <c r="F3" s="71" t="s">
        <v>106</v>
      </c>
      <c r="G3" s="60"/>
      <c r="H3" s="61"/>
      <c r="I3" s="70" t="s">
        <v>47</v>
      </c>
      <c r="J3" s="60"/>
      <c r="K3" s="61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9" t="s">
        <v>53</v>
      </c>
      <c r="B5" s="60"/>
      <c r="C5" s="60"/>
      <c r="D5" s="60"/>
      <c r="E5" s="60"/>
      <c r="F5" s="60"/>
      <c r="G5" s="60"/>
      <c r="H5" s="60"/>
      <c r="I5" s="60"/>
      <c r="J5" s="60"/>
      <c r="K5" s="61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>
        <v>704</v>
      </c>
      <c r="C8" s="4">
        <v>32</v>
      </c>
      <c r="D8" s="4">
        <v>28</v>
      </c>
      <c r="E8" s="4">
        <f t="shared" si="0"/>
        <v>0.875</v>
      </c>
      <c r="F8" s="4">
        <v>33</v>
      </c>
      <c r="G8" s="4">
        <v>27</v>
      </c>
      <c r="H8" s="4">
        <f t="shared" si="1"/>
        <v>0.81818181818181823</v>
      </c>
      <c r="I8" s="4">
        <f t="shared" si="2"/>
        <v>65</v>
      </c>
      <c r="J8" s="4">
        <f t="shared" si="3"/>
        <v>55</v>
      </c>
      <c r="K8" s="4">
        <f t="shared" si="4"/>
        <v>0.84615384615384615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81</v>
      </c>
      <c r="D15" s="7">
        <f>SUM(D6:D14)</f>
        <v>71</v>
      </c>
      <c r="E15" s="7">
        <f t="shared" si="0"/>
        <v>0.87654320987654322</v>
      </c>
      <c r="F15" s="7">
        <f>SUM(F6:F14)</f>
        <v>90</v>
      </c>
      <c r="G15" s="7">
        <f>SUM(G6:G14)</f>
        <v>78</v>
      </c>
      <c r="H15" s="7">
        <f t="shared" si="1"/>
        <v>0.8666666666666667</v>
      </c>
      <c r="I15" s="7">
        <f>SUM(I6:I14)</f>
        <v>171</v>
      </c>
      <c r="J15" s="7">
        <f>SUM(J6:J14)</f>
        <v>149</v>
      </c>
      <c r="K15" s="7">
        <f t="shared" si="4"/>
        <v>0.87134502923976609</v>
      </c>
    </row>
    <row r="16" spans="1:11" ht="22" customHeight="1" x14ac:dyDescent="0.25"/>
    <row r="17" spans="1:11" ht="22" customHeight="1" x14ac:dyDescent="0.25">
      <c r="A17" s="69" t="s">
        <v>73</v>
      </c>
      <c r="B17" s="60"/>
      <c r="C17" s="60"/>
      <c r="D17" s="60"/>
      <c r="E17" s="60"/>
      <c r="F17" s="60"/>
      <c r="G17" s="60"/>
      <c r="H17" s="60"/>
      <c r="I17" s="60"/>
      <c r="J17" s="60"/>
      <c r="K17" s="61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9" t="s">
        <v>80</v>
      </c>
      <c r="B26" s="60"/>
      <c r="C26" s="60"/>
      <c r="D26" s="60"/>
      <c r="E26" s="60"/>
      <c r="F26" s="60"/>
      <c r="G26" s="60"/>
      <c r="H26" s="60"/>
      <c r="I26" s="60"/>
      <c r="J26" s="60"/>
      <c r="K26" s="61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5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5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5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5" ht="22" customHeight="1" x14ac:dyDescent="0.25">
      <c r="A36" s="8" t="s">
        <v>154</v>
      </c>
      <c r="B36" s="9"/>
      <c r="C36" s="10">
        <f>C15+C24+C35</f>
        <v>81</v>
      </c>
      <c r="D36" s="10">
        <f>D15+D24+D35</f>
        <v>71</v>
      </c>
      <c r="E36" s="10">
        <f t="shared" si="9"/>
        <v>0.87654320987654322</v>
      </c>
      <c r="F36" s="10">
        <f>F15+F24+F35</f>
        <v>90</v>
      </c>
      <c r="G36" s="10">
        <f>G15+G24+G35</f>
        <v>78</v>
      </c>
      <c r="H36" s="10">
        <f t="shared" si="10"/>
        <v>0.8666666666666667</v>
      </c>
      <c r="I36" s="10">
        <f>I15+I24+I35</f>
        <v>171</v>
      </c>
      <c r="J36" s="10">
        <f>J15+J24+J35</f>
        <v>149</v>
      </c>
      <c r="K36" s="10">
        <f t="shared" si="12"/>
        <v>0.87134502923976609</v>
      </c>
    </row>
    <row r="39" spans="1:15" ht="30" customHeight="1" x14ac:dyDescent="0.25">
      <c r="A39" s="74" t="s">
        <v>155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</row>
    <row r="40" spans="1:15" ht="6" customHeight="1" x14ac:dyDescent="0.25"/>
    <row r="41" spans="1:15" ht="24" customHeight="1" x14ac:dyDescent="0.25">
      <c r="A41" s="1"/>
      <c r="B41" s="1"/>
      <c r="C41" s="73" t="s">
        <v>52</v>
      </c>
      <c r="D41" s="60"/>
      <c r="E41" s="61"/>
      <c r="F41" s="71" t="s">
        <v>106</v>
      </c>
      <c r="G41" s="60"/>
      <c r="H41" s="61"/>
      <c r="I41" s="72" t="s">
        <v>156</v>
      </c>
      <c r="J41" s="60"/>
      <c r="K41" s="61"/>
      <c r="L41" s="70" t="s">
        <v>47</v>
      </c>
      <c r="M41" s="60"/>
      <c r="N41" s="61"/>
    </row>
    <row r="42" spans="1:15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5" ht="22" customHeight="1" x14ac:dyDescent="0.25">
      <c r="A43" s="69" t="s">
        <v>53</v>
      </c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1"/>
    </row>
    <row r="44" spans="1:15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5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5" ht="22" customHeight="1" x14ac:dyDescent="0.25">
      <c r="A46" s="3" t="s">
        <v>130</v>
      </c>
      <c r="B46" s="4">
        <f t="shared" si="13"/>
        <v>704</v>
      </c>
      <c r="C46" s="4">
        <v>17</v>
      </c>
      <c r="D46" s="4">
        <v>13</v>
      </c>
      <c r="E46" s="4">
        <f t="shared" si="14"/>
        <v>0.76470588235294112</v>
      </c>
      <c r="F46" s="4">
        <v>41</v>
      </c>
      <c r="G46" s="4">
        <v>27</v>
      </c>
      <c r="H46" s="4">
        <f t="shared" si="15"/>
        <v>0.65853658536585369</v>
      </c>
      <c r="I46" s="4"/>
      <c r="J46" s="4"/>
      <c r="K46" s="4" t="str">
        <f t="shared" si="16"/>
        <v/>
      </c>
      <c r="L46" s="4">
        <f t="shared" si="17"/>
        <v>58</v>
      </c>
      <c r="M46" s="4">
        <f t="shared" si="18"/>
        <v>40</v>
      </c>
      <c r="N46" s="4">
        <f t="shared" si="19"/>
        <v>0.68965517241379315</v>
      </c>
      <c r="O46" t="s">
        <v>306</v>
      </c>
    </row>
    <row r="47" spans="1:15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5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41</v>
      </c>
      <c r="D53" s="7">
        <f>SUM(D44:D52)</f>
        <v>30</v>
      </c>
      <c r="E53" s="7">
        <f t="shared" si="14"/>
        <v>0.73170731707317072</v>
      </c>
      <c r="F53" s="7">
        <f>SUM(F44:F52)</f>
        <v>69</v>
      </c>
      <c r="G53" s="7">
        <f>SUM(G44:G52)</f>
        <v>44</v>
      </c>
      <c r="H53" s="7">
        <f t="shared" si="15"/>
        <v>0.6376811594202898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115</v>
      </c>
      <c r="M53" s="7">
        <f>SUM(M44:M52)</f>
        <v>75</v>
      </c>
      <c r="N53" s="7">
        <f t="shared" si="19"/>
        <v>0.65217391304347827</v>
      </c>
    </row>
    <row r="54" spans="1:14" ht="22" customHeight="1" x14ac:dyDescent="0.25"/>
    <row r="55" spans="1:14" ht="22" customHeight="1" x14ac:dyDescent="0.25">
      <c r="A55" s="69" t="s">
        <v>73</v>
      </c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1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9" t="s">
        <v>80</v>
      </c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1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41</v>
      </c>
      <c r="D74" s="10">
        <f>D53+D62+D73</f>
        <v>30</v>
      </c>
      <c r="E74" s="10">
        <f t="shared" si="27"/>
        <v>0.73170731707317072</v>
      </c>
      <c r="F74" s="10">
        <f>F53+F62+F73</f>
        <v>69</v>
      </c>
      <c r="G74" s="10">
        <f>G53+G62+G73</f>
        <v>44</v>
      </c>
      <c r="H74" s="10">
        <f t="shared" si="28"/>
        <v>0.6376811594202898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115</v>
      </c>
      <c r="M74" s="10">
        <f>M53+M62+M73</f>
        <v>75</v>
      </c>
      <c r="N74" s="10">
        <f t="shared" si="31"/>
        <v>0.65217391304347827</v>
      </c>
    </row>
    <row r="77" spans="1:14" ht="30" customHeight="1" x14ac:dyDescent="0.25">
      <c r="A77" s="74" t="s">
        <v>157</v>
      </c>
      <c r="B77" s="56"/>
      <c r="C77" s="56"/>
      <c r="D77" s="56"/>
      <c r="E77" s="56"/>
      <c r="F77" s="56"/>
      <c r="G77" s="56"/>
      <c r="H77" s="56"/>
      <c r="I77" s="56"/>
      <c r="J77" s="56"/>
      <c r="K77" s="56"/>
    </row>
    <row r="78" spans="1:14" ht="6" customHeight="1" x14ac:dyDescent="0.25"/>
    <row r="79" spans="1:14" ht="24" customHeight="1" x14ac:dyDescent="0.25">
      <c r="A79" s="1"/>
      <c r="B79" s="1"/>
      <c r="C79" s="73" t="s">
        <v>158</v>
      </c>
      <c r="D79" s="60"/>
      <c r="E79" s="61"/>
      <c r="F79" s="71" t="s">
        <v>155</v>
      </c>
      <c r="G79" s="60"/>
      <c r="H79" s="61"/>
      <c r="I79" s="70" t="s">
        <v>113</v>
      </c>
      <c r="J79" s="60"/>
      <c r="K79" s="61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9" t="s">
        <v>53</v>
      </c>
      <c r="B81" s="60"/>
      <c r="C81" s="60"/>
      <c r="D81" s="60"/>
      <c r="E81" s="60"/>
      <c r="F81" s="60"/>
      <c r="G81" s="60"/>
      <c r="H81" s="60"/>
      <c r="I81" s="60"/>
      <c r="J81" s="60"/>
      <c r="K81" s="61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704</v>
      </c>
      <c r="C84" s="4">
        <f t="shared" si="33"/>
        <v>65</v>
      </c>
      <c r="D84" s="4">
        <f t="shared" si="34"/>
        <v>55</v>
      </c>
      <c r="E84" s="4">
        <f t="shared" si="35"/>
        <v>0.84615384615384615</v>
      </c>
      <c r="F84" s="4">
        <f t="shared" si="36"/>
        <v>58</v>
      </c>
      <c r="G84" s="4">
        <f t="shared" si="37"/>
        <v>40</v>
      </c>
      <c r="H84" s="4">
        <f t="shared" si="38"/>
        <v>0.68965517241379315</v>
      </c>
      <c r="I84" s="4">
        <f t="shared" si="39"/>
        <v>123</v>
      </c>
      <c r="J84" s="4">
        <f t="shared" si="40"/>
        <v>95</v>
      </c>
      <c r="K84" s="4">
        <f t="shared" si="41"/>
        <v>0.77235772357723576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171</v>
      </c>
      <c r="D91" s="7">
        <f>SUM(D82:D90)</f>
        <v>149</v>
      </c>
      <c r="E91" s="7">
        <f t="shared" si="35"/>
        <v>0.87134502923976609</v>
      </c>
      <c r="F91" s="7">
        <f>SUM(F82:F90)</f>
        <v>115</v>
      </c>
      <c r="G91" s="7">
        <f>SUM(G82:G90)</f>
        <v>75</v>
      </c>
      <c r="H91" s="7">
        <f t="shared" si="38"/>
        <v>0.65217391304347827</v>
      </c>
      <c r="I91" s="7">
        <f>SUM(I82:I90)</f>
        <v>286</v>
      </c>
      <c r="J91" s="7">
        <f>SUM(J82:J90)</f>
        <v>224</v>
      </c>
      <c r="K91" s="7">
        <f t="shared" si="41"/>
        <v>0.78321678321678323</v>
      </c>
    </row>
    <row r="92" spans="1:11" ht="22" customHeight="1" x14ac:dyDescent="0.25"/>
    <row r="93" spans="1:11" ht="22" customHeight="1" x14ac:dyDescent="0.25">
      <c r="A93" s="69" t="s">
        <v>73</v>
      </c>
      <c r="B93" s="60"/>
      <c r="C93" s="60"/>
      <c r="D93" s="60"/>
      <c r="E93" s="60"/>
      <c r="F93" s="60"/>
      <c r="G93" s="60"/>
      <c r="H93" s="60"/>
      <c r="I93" s="60"/>
      <c r="J93" s="60"/>
      <c r="K93" s="61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9" t="s">
        <v>80</v>
      </c>
      <c r="B102" s="60"/>
      <c r="C102" s="60"/>
      <c r="D102" s="60"/>
      <c r="E102" s="60"/>
      <c r="F102" s="60"/>
      <c r="G102" s="60"/>
      <c r="H102" s="60"/>
      <c r="I102" s="60"/>
      <c r="J102" s="60"/>
      <c r="K102" s="61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171</v>
      </c>
      <c r="D112" s="10">
        <f>D91+D100+D111</f>
        <v>149</v>
      </c>
      <c r="E112" s="10">
        <f t="shared" si="51"/>
        <v>0.87134502923976609</v>
      </c>
      <c r="F112" s="10">
        <f>F91+F100+F111</f>
        <v>115</v>
      </c>
      <c r="G112" s="10">
        <f>G91+G100+G111</f>
        <v>75</v>
      </c>
      <c r="H112" s="10">
        <f t="shared" si="53"/>
        <v>0.65217391304347827</v>
      </c>
      <c r="I112" s="10">
        <f>I91+I100+I111</f>
        <v>286</v>
      </c>
      <c r="J112" s="10">
        <f>J91+J100+J111</f>
        <v>224</v>
      </c>
      <c r="K112" s="10">
        <f t="shared" si="55"/>
        <v>0.78321678321678323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21" workbookViewId="0">
      <selection activeCell="F44" sqref="F44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5" t="s">
        <v>159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7" t="s">
        <v>160</v>
      </c>
      <c r="B3" s="60"/>
      <c r="C3" s="60"/>
      <c r="D3" s="60"/>
      <c r="E3" s="60"/>
      <c r="F3" s="60"/>
      <c r="G3" s="60"/>
      <c r="H3" s="60"/>
      <c r="I3" s="60"/>
      <c r="J3" s="60"/>
      <c r="K3" s="61"/>
      <c r="L3" s="11"/>
      <c r="M3" s="76" t="s">
        <v>161</v>
      </c>
      <c r="N3" s="60"/>
      <c r="O3" s="60"/>
      <c r="P3" s="60"/>
      <c r="Q3" s="60"/>
      <c r="R3" s="60"/>
      <c r="S3" s="60"/>
      <c r="T3" s="60"/>
      <c r="U3" s="60"/>
      <c r="V3" s="61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8" t="s">
        <v>211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7" t="s">
        <v>160</v>
      </c>
      <c r="B3" s="60"/>
      <c r="C3" s="60"/>
      <c r="D3" s="60"/>
      <c r="E3" s="60"/>
      <c r="F3" s="60"/>
      <c r="G3" s="60"/>
      <c r="H3" s="60"/>
      <c r="I3" s="60"/>
      <c r="J3" s="60"/>
      <c r="K3" s="61"/>
      <c r="L3" s="11"/>
      <c r="M3" s="76" t="s">
        <v>161</v>
      </c>
      <c r="N3" s="60"/>
      <c r="O3" s="60"/>
      <c r="P3" s="60"/>
      <c r="Q3" s="60"/>
      <c r="R3" s="60"/>
      <c r="S3" s="60"/>
      <c r="T3" s="60"/>
      <c r="U3" s="60"/>
      <c r="V3" s="61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5" t="s">
        <v>247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7" t="s">
        <v>160</v>
      </c>
      <c r="B3" s="60"/>
      <c r="C3" s="60"/>
      <c r="D3" s="60"/>
      <c r="E3" s="60"/>
      <c r="F3" s="60"/>
      <c r="G3" s="60"/>
      <c r="H3" s="60"/>
      <c r="I3" s="60"/>
      <c r="J3" s="60"/>
      <c r="K3" s="61"/>
      <c r="L3" s="11"/>
      <c r="M3" s="76" t="s">
        <v>161</v>
      </c>
      <c r="N3" s="60"/>
      <c r="O3" s="60"/>
      <c r="P3" s="60"/>
      <c r="Q3" s="60"/>
      <c r="R3" s="60"/>
      <c r="S3" s="60"/>
      <c r="T3" s="60"/>
      <c r="U3" s="60"/>
      <c r="V3" s="61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7" zoomScale="86" workbookViewId="0">
      <selection activeCell="G37" sqref="G37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5" t="s">
        <v>270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7" t="s">
        <v>160</v>
      </c>
      <c r="B3" s="60"/>
      <c r="C3" s="60"/>
      <c r="D3" s="60"/>
      <c r="E3" s="60"/>
      <c r="F3" s="60"/>
      <c r="G3" s="60"/>
      <c r="H3" s="60"/>
      <c r="I3" s="60"/>
      <c r="J3" s="60"/>
      <c r="K3" s="61"/>
      <c r="L3" s="11"/>
      <c r="M3" s="76" t="s">
        <v>161</v>
      </c>
      <c r="N3" s="60"/>
      <c r="O3" s="60"/>
      <c r="P3" s="60"/>
      <c r="Q3" s="60"/>
      <c r="R3" s="60"/>
      <c r="S3" s="60"/>
      <c r="T3" s="60"/>
      <c r="U3" s="60"/>
      <c r="V3" s="61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>
        <v>703</v>
      </c>
      <c r="C32" s="15">
        <v>61</v>
      </c>
      <c r="D32" s="15">
        <v>51</v>
      </c>
      <c r="E32" s="15">
        <f>IF(AND(C32&lt;&gt;"",D32&lt;&gt;""),D32/C32,"")</f>
        <v>0.83606557377049184</v>
      </c>
      <c r="F32" s="15">
        <v>21</v>
      </c>
      <c r="G32" s="15">
        <v>18</v>
      </c>
      <c r="H32" s="15">
        <f>IF(AND(F32&lt;&gt;"",G32&lt;&gt;""),G32/F32,"")</f>
        <v>0.8571428571428571</v>
      </c>
      <c r="I32" s="15">
        <f t="shared" si="18"/>
        <v>40</v>
      </c>
      <c r="J32" s="15">
        <f t="shared" si="18"/>
        <v>33</v>
      </c>
      <c r="K32" s="15">
        <f>IF(AND(I32&lt;&gt;"",J32&lt;&gt;""),J32/I32,"")</f>
        <v>0.82499999999999996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>
        <v>704</v>
      </c>
      <c r="C34" s="15">
        <v>6</v>
      </c>
      <c r="D34" s="15">
        <v>6</v>
      </c>
      <c r="E34" s="15">
        <f t="shared" ref="E34:E39" si="20">IF(AND(C34&lt;&gt;"",D34&lt;&gt;""),D34/C34,"")</f>
        <v>1</v>
      </c>
      <c r="F34" s="15">
        <v>1</v>
      </c>
      <c r="G34" s="15">
        <v>1</v>
      </c>
      <c r="H34" s="15">
        <f t="shared" ref="H34:H39" si="21">IF(AND(F34&lt;&gt;"",G34&lt;&gt;""),G34/F34,"")</f>
        <v>1</v>
      </c>
      <c r="I34" s="15">
        <f t="shared" ref="I34:J38" si="22">C34-F34</f>
        <v>5</v>
      </c>
      <c r="J34" s="15">
        <f t="shared" si="22"/>
        <v>5</v>
      </c>
      <c r="K34" s="15">
        <f t="shared" ref="K34:K39" si="23">IF(AND(I34&lt;&gt;"",J34&lt;&gt;""),J34/I34,"")</f>
        <v>1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>
        <v>704</v>
      </c>
      <c r="C35" s="15">
        <v>14</v>
      </c>
      <c r="D35" s="15">
        <v>11</v>
      </c>
      <c r="E35" s="15">
        <f t="shared" si="20"/>
        <v>0.7857142857142857</v>
      </c>
      <c r="F35" s="15">
        <v>4</v>
      </c>
      <c r="G35" s="15">
        <v>4</v>
      </c>
      <c r="H35" s="15">
        <f t="shared" si="21"/>
        <v>1</v>
      </c>
      <c r="I35" s="15">
        <f t="shared" si="22"/>
        <v>10</v>
      </c>
      <c r="J35" s="15">
        <f t="shared" si="22"/>
        <v>7</v>
      </c>
      <c r="K35" s="15">
        <f t="shared" si="23"/>
        <v>0.7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>
        <v>704</v>
      </c>
      <c r="C36" s="15">
        <v>11</v>
      </c>
      <c r="D36" s="15">
        <v>10</v>
      </c>
      <c r="E36" s="15">
        <f t="shared" si="20"/>
        <v>0.90909090909090906</v>
      </c>
      <c r="F36" s="15">
        <v>2</v>
      </c>
      <c r="G36" s="15">
        <v>2</v>
      </c>
      <c r="H36" s="15">
        <f t="shared" si="21"/>
        <v>1</v>
      </c>
      <c r="I36" s="15">
        <f t="shared" si="22"/>
        <v>9</v>
      </c>
      <c r="J36" s="15">
        <f t="shared" si="22"/>
        <v>8</v>
      </c>
      <c r="K36" s="15">
        <f t="shared" si="23"/>
        <v>0.88888888888888884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>
        <v>705</v>
      </c>
      <c r="C37" s="15">
        <v>12</v>
      </c>
      <c r="D37" s="15">
        <v>12</v>
      </c>
      <c r="E37" s="15">
        <f t="shared" si="20"/>
        <v>1</v>
      </c>
      <c r="F37" s="15">
        <v>5</v>
      </c>
      <c r="G37" s="15">
        <v>5</v>
      </c>
      <c r="H37" s="15">
        <f t="shared" si="21"/>
        <v>1</v>
      </c>
      <c r="I37" s="15">
        <f t="shared" si="22"/>
        <v>7</v>
      </c>
      <c r="J37" s="15">
        <f t="shared" si="22"/>
        <v>7</v>
      </c>
      <c r="K37" s="15">
        <f t="shared" si="23"/>
        <v>1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>
        <v>705</v>
      </c>
      <c r="C38" s="15">
        <v>19</v>
      </c>
      <c r="D38" s="15">
        <v>15</v>
      </c>
      <c r="E38" s="15">
        <f t="shared" si="20"/>
        <v>0.78947368421052633</v>
      </c>
      <c r="F38" s="15">
        <v>4</v>
      </c>
      <c r="G38" s="15">
        <v>4</v>
      </c>
      <c r="H38" s="15">
        <f t="shared" si="21"/>
        <v>1</v>
      </c>
      <c r="I38" s="15">
        <f t="shared" si="22"/>
        <v>15</v>
      </c>
      <c r="J38" s="15">
        <f t="shared" si="22"/>
        <v>11</v>
      </c>
      <c r="K38" s="15">
        <f t="shared" si="23"/>
        <v>0.73333333333333328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561</v>
      </c>
      <c r="D39" s="18">
        <f>SUM(D5:D38)</f>
        <v>457</v>
      </c>
      <c r="E39" s="18">
        <f t="shared" si="20"/>
        <v>0.81461675579322634</v>
      </c>
      <c r="F39" s="18">
        <f>SUM(F5:F38)</f>
        <v>136</v>
      </c>
      <c r="G39" s="18">
        <f>SUM(G5:G38)</f>
        <v>112</v>
      </c>
      <c r="H39" s="18">
        <f t="shared" si="21"/>
        <v>0.82352941176470584</v>
      </c>
      <c r="I39" s="18">
        <f>SUM(I5:I38)</f>
        <v>425</v>
      </c>
      <c r="J39" s="18">
        <f>SUM(J5:J38)</f>
        <v>345</v>
      </c>
      <c r="K39" s="18">
        <f t="shared" si="23"/>
        <v>0.81176470588235294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561</v>
      </c>
      <c r="D41" s="21">
        <f>D39+O39</f>
        <v>457</v>
      </c>
      <c r="E41" s="21">
        <f>IF(AND(C41&lt;&gt;"",D41&lt;&gt;""),D41/C41,"")</f>
        <v>0.81461675579322634</v>
      </c>
      <c r="F41" s="21">
        <f>F39+Q39</f>
        <v>136</v>
      </c>
      <c r="G41" s="21">
        <f>G39+R39</f>
        <v>112</v>
      </c>
      <c r="H41" s="21">
        <f>IF(AND(F41&lt;&gt;"",G41&lt;&gt;""),G41/F41,"")</f>
        <v>0.82352941176470584</v>
      </c>
      <c r="I41" s="21">
        <f>I39+T39</f>
        <v>425</v>
      </c>
      <c r="J41" s="21">
        <f>J39+U39</f>
        <v>345</v>
      </c>
      <c r="K41" s="21">
        <f>IF(AND(I41&lt;&gt;"",J41&lt;&gt;""),J41/I41,"")</f>
        <v>0.81176470588235294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U15" sqref="U15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55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</row>
    <row r="2" spans="1:24" ht="6" customHeight="1" x14ac:dyDescent="0.25"/>
    <row r="3" spans="1:24" ht="22" customHeight="1" x14ac:dyDescent="0.25">
      <c r="A3" s="45"/>
      <c r="B3" s="58" t="s">
        <v>1</v>
      </c>
      <c r="C3" s="56"/>
      <c r="D3" s="56"/>
      <c r="E3" s="56"/>
      <c r="F3" s="56"/>
      <c r="G3" s="58" t="s">
        <v>2</v>
      </c>
      <c r="H3" s="56"/>
      <c r="I3" s="56"/>
      <c r="J3" s="56"/>
      <c r="K3" s="56"/>
      <c r="L3" s="58" t="s">
        <v>3</v>
      </c>
      <c r="M3" s="56"/>
      <c r="N3" s="56"/>
      <c r="O3" s="56"/>
      <c r="P3" s="56"/>
      <c r="Q3" s="58" t="s">
        <v>4</v>
      </c>
      <c r="R3" s="56"/>
      <c r="S3" s="56"/>
      <c r="T3" s="56"/>
      <c r="U3" s="56"/>
      <c r="V3" s="57" t="s">
        <v>5</v>
      </c>
      <c r="W3" s="56"/>
      <c r="X3" s="56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>
        <v>7.2</v>
      </c>
      <c r="R10" s="48">
        <v>15</v>
      </c>
      <c r="S10" s="48">
        <v>5</v>
      </c>
      <c r="T10" s="48">
        <v>4</v>
      </c>
      <c r="U10" s="48">
        <f t="shared" si="3"/>
        <v>0.8</v>
      </c>
      <c r="V10" s="48">
        <f t="shared" si="4"/>
        <v>20</v>
      </c>
      <c r="W10" s="48">
        <f t="shared" si="5"/>
        <v>13</v>
      </c>
      <c r="X10" s="48">
        <f t="shared" si="6"/>
        <v>0.65</v>
      </c>
    </row>
    <row r="11" spans="1:24" ht="22" customHeight="1" x14ac:dyDescent="0.25">
      <c r="A11" s="48" t="s">
        <v>37</v>
      </c>
      <c r="B11" s="48">
        <v>7.4</v>
      </c>
      <c r="C11" s="48">
        <v>15</v>
      </c>
      <c r="D11" s="48">
        <v>5</v>
      </c>
      <c r="E11" s="48">
        <v>5</v>
      </c>
      <c r="F11" s="48">
        <f t="shared" si="0"/>
        <v>1</v>
      </c>
      <c r="G11" s="48">
        <v>7.7</v>
      </c>
      <c r="H11" s="48">
        <v>19</v>
      </c>
      <c r="I11" s="48">
        <v>5</v>
      </c>
      <c r="J11" s="48">
        <v>4</v>
      </c>
      <c r="K11" s="48">
        <f t="shared" si="1"/>
        <v>0.8</v>
      </c>
      <c r="L11" s="48">
        <v>7.8</v>
      </c>
      <c r="M11" s="48">
        <v>12</v>
      </c>
      <c r="N11" s="48">
        <v>5</v>
      </c>
      <c r="O11" s="48">
        <v>4</v>
      </c>
      <c r="P11" s="48">
        <f t="shared" si="2"/>
        <v>0.8</v>
      </c>
      <c r="Q11" s="48">
        <v>7.9</v>
      </c>
      <c r="R11" s="48">
        <v>19</v>
      </c>
      <c r="S11" s="48">
        <v>5</v>
      </c>
      <c r="T11" s="48">
        <v>3</v>
      </c>
      <c r="U11" s="48">
        <f t="shared" si="3"/>
        <v>0.6</v>
      </c>
      <c r="V11" s="48">
        <f t="shared" si="4"/>
        <v>20</v>
      </c>
      <c r="W11" s="48">
        <f t="shared" si="5"/>
        <v>16</v>
      </c>
      <c r="X11" s="48">
        <f t="shared" si="6"/>
        <v>0.8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9</v>
      </c>
      <c r="F21" s="46">
        <f t="shared" si="0"/>
        <v>0.1125</v>
      </c>
      <c r="G21" s="50"/>
      <c r="H21" s="50"/>
      <c r="I21" s="46">
        <f>SUM(I5:I20)</f>
        <v>80</v>
      </c>
      <c r="J21" s="46">
        <f>SUM(J5:J20)</f>
        <v>13</v>
      </c>
      <c r="K21" s="46">
        <f t="shared" si="1"/>
        <v>0.16250000000000001</v>
      </c>
      <c r="L21" s="50"/>
      <c r="M21" s="50"/>
      <c r="N21" s="46">
        <f>SUM(N5:N20)</f>
        <v>80</v>
      </c>
      <c r="O21" s="46">
        <f>SUM(O5:O20)</f>
        <v>16</v>
      </c>
      <c r="P21" s="46">
        <f t="shared" si="2"/>
        <v>0.2</v>
      </c>
      <c r="Q21" s="50"/>
      <c r="R21" s="50"/>
      <c r="S21" s="46">
        <f>SUM(S5:S20)</f>
        <v>80</v>
      </c>
      <c r="T21" s="46">
        <f>SUM(T5:T20)</f>
        <v>11</v>
      </c>
      <c r="U21" s="46">
        <f t="shared" si="3"/>
        <v>0.13750000000000001</v>
      </c>
      <c r="V21" s="46">
        <f>SUM(V5:V20)</f>
        <v>320</v>
      </c>
      <c r="W21" s="46">
        <f>SUM(W5:W20)</f>
        <v>49</v>
      </c>
      <c r="X21" s="46">
        <f t="shared" si="6"/>
        <v>0.15312500000000001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9</v>
      </c>
      <c r="F23" s="53">
        <f>IF(AND(D23&lt;&gt;"",E23&lt;&gt;""),E23/D23,"")</f>
        <v>0.1125</v>
      </c>
      <c r="G23" s="52"/>
      <c r="H23" s="52"/>
      <c r="I23" s="53">
        <f>I21</f>
        <v>80</v>
      </c>
      <c r="J23" s="53">
        <f>J21</f>
        <v>13</v>
      </c>
      <c r="K23" s="53">
        <f>IF(AND(I23&lt;&gt;"",J23&lt;&gt;""),J23/I23,"")</f>
        <v>0.16250000000000001</v>
      </c>
      <c r="L23" s="52"/>
      <c r="M23" s="52"/>
      <c r="N23" s="53">
        <f>N21</f>
        <v>80</v>
      </c>
      <c r="O23" s="53">
        <f>O21</f>
        <v>16</v>
      </c>
      <c r="P23" s="53">
        <f>IF(AND(N23&lt;&gt;"",O23&lt;&gt;""),O23/N23,"")</f>
        <v>0.2</v>
      </c>
      <c r="Q23" s="52"/>
      <c r="R23" s="52"/>
      <c r="S23" s="53">
        <f>S21</f>
        <v>80</v>
      </c>
      <c r="T23" s="53">
        <f>T21</f>
        <v>11</v>
      </c>
      <c r="U23" s="53">
        <f>IF(AND(S23&lt;&gt;"",T23&lt;&gt;""),T23/S23,"")</f>
        <v>0.13750000000000001</v>
      </c>
      <c r="V23" s="53">
        <f>V21</f>
        <v>320</v>
      </c>
      <c r="W23" s="53">
        <f>W21</f>
        <v>49</v>
      </c>
      <c r="X23" s="53">
        <f>IF(AND(V23&lt;&gt;"",W23&lt;&gt;""),W23/V23,"")</f>
        <v>0.15312500000000001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2026-07-11T14:42:12Z</dcterms:modified>
</cp:coreProperties>
</file>