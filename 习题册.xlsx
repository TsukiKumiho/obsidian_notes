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E2657B98-1432-4C0E-9878-1CE0250085DD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<sst xmlns="http://schemas.openxmlformats.org/spreadsheetml/2006/main" count="567" uniqueCount="306">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</sst>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2" t="s">
        <v>49</v>
      </c>
      <c r="B1" s="56"/>
      <c r="C1" s="56"/>
      <c r="D1" s="56"/>
      <c r="E1" s="56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1" t="s">
        <v>52</v>
      </c>
      <c r="B4" s="58"/>
      <c r="C4" s="58"/>
      <c r="D4" s="58"/>
      <c r="E4" s="59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1" t="s">
        <v>88</v>
      </c>
      <c r="B41" s="58"/>
      <c r="C41" s="58"/>
      <c r="D41" s="58"/>
      <c r="E41" s="59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1" t="s">
        <v>106</v>
      </c>
      <c r="B83" s="58"/>
      <c r="C83" s="58"/>
      <c r="D83" s="58"/>
      <c r="E83" s="59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M21" sqref="M2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3" t="s">
        <v>114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6" customHeight="1" x14ac:dyDescent="0.25"/>
    <row r="3" spans="1:14" ht="22" customHeight="1" x14ac:dyDescent="0.25">
      <c r="A3" s="31"/>
      <c r="B3" s="31"/>
      <c r="C3" s="64" t="s">
        <v>115</v>
      </c>
      <c r="D3" s="58"/>
      <c r="E3" s="59"/>
      <c r="F3" s="67" t="s">
        <v>305</v>
      </c>
      <c r="G3" s="58"/>
      <c r="H3" s="59"/>
      <c r="I3" s="66" t="s">
        <v>116</v>
      </c>
      <c r="J3" s="58"/>
      <c r="K3" s="59"/>
      <c r="L3" s="65" t="s">
        <v>47</v>
      </c>
      <c r="M3" s="58"/>
      <c r="N3" s="59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48</v>
      </c>
      <c r="D14" s="37">
        <f>SUM(D5:D13)</f>
        <v>39</v>
      </c>
      <c r="E14" s="37">
        <f t="shared" si="0"/>
        <v>0.8125</v>
      </c>
      <c r="F14" s="37">
        <f>SUM(F5:F13)</f>
        <v>43</v>
      </c>
      <c r="G14" s="37">
        <f>SUM(G5:G13)</f>
        <v>36</v>
      </c>
      <c r="H14" s="37">
        <f t="shared" si="1"/>
        <v>0.83720930232558144</v>
      </c>
      <c r="I14" s="37">
        <f>SUM(I5:I13)</f>
        <v>74</v>
      </c>
      <c r="J14" s="37">
        <f>SUM(J5:J13)</f>
        <v>49</v>
      </c>
      <c r="K14" s="37">
        <f t="shared" si="2"/>
        <v>0.66216216216216217</v>
      </c>
      <c r="L14" s="37">
        <f>SUM(L5:L13)</f>
        <v>165</v>
      </c>
      <c r="M14" s="37">
        <f>SUM(M5:M13)</f>
        <v>124</v>
      </c>
      <c r="N14" s="37">
        <f t="shared" si="5"/>
        <v>0.75151515151515147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48</v>
      </c>
      <c r="D16" s="40">
        <f>D14</f>
        <v>39</v>
      </c>
      <c r="E16" s="40">
        <f>IF(AND(C16&lt;&gt;"",D16&lt;&gt;""),D16/C16,"")</f>
        <v>0.8125</v>
      </c>
      <c r="F16" s="40">
        <f>F14</f>
        <v>43</v>
      </c>
      <c r="G16" s="40">
        <f>G14</f>
        <v>36</v>
      </c>
      <c r="H16" s="40">
        <f>IF(AND(F16&lt;&gt;"",G16&lt;&gt;""),G16/F16,"")</f>
        <v>0.83720930232558144</v>
      </c>
      <c r="I16" s="40">
        <f>I14</f>
        <v>74</v>
      </c>
      <c r="J16" s="40">
        <f>J14</f>
        <v>49</v>
      </c>
      <c r="K16" s="40">
        <f>IF(AND(I16&lt;&gt;"",J16&lt;&gt;""),J16/I16,"")</f>
        <v>0.66216216216216217</v>
      </c>
      <c r="L16" s="40">
        <f>L14</f>
        <v>165</v>
      </c>
      <c r="M16" s="40">
        <f>M14</f>
        <v>124</v>
      </c>
      <c r="N16" s="40">
        <f>IF(AND(L16&lt;&gt;"",M16&lt;&gt;""),M16/L16,"")</f>
        <v>0.75151515151515147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" zoomScale="86" workbookViewId="0">
      <selection activeCell="D9" sqref="D9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8" t="s">
        <v>126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6" customHeight="1" x14ac:dyDescent="0.25"/>
    <row r="3" spans="1:11" ht="24" customHeight="1" x14ac:dyDescent="0.25">
      <c r="A3" s="1"/>
      <c r="B3" s="1"/>
      <c r="C3" s="73" t="s">
        <v>52</v>
      </c>
      <c r="D3" s="58"/>
      <c r="E3" s="59"/>
      <c r="F3" s="71" t="s">
        <v>106</v>
      </c>
      <c r="G3" s="58"/>
      <c r="H3" s="59"/>
      <c r="I3" s="70" t="s">
        <v>47</v>
      </c>
      <c r="J3" s="58"/>
      <c r="K3" s="59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9" t="s">
        <v>53</v>
      </c>
      <c r="B5" s="58"/>
      <c r="C5" s="58"/>
      <c r="D5" s="58"/>
      <c r="E5" s="58"/>
      <c r="F5" s="58"/>
      <c r="G5" s="58"/>
      <c r="H5" s="58"/>
      <c r="I5" s="58"/>
      <c r="J5" s="58"/>
      <c r="K5" s="59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/>
      <c r="G8" s="4"/>
      <c r="H8" s="4" t="str">
        <f t="shared" si="1"/>
        <v/>
      </c>
      <c r="I8" s="4">
        <f t="shared" si="2"/>
        <v>32</v>
      </c>
      <c r="J8" s="4">
        <f t="shared" si="3"/>
        <v>28</v>
      </c>
      <c r="K8" s="4">
        <f t="shared" si="4"/>
        <v>0.875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138</v>
      </c>
      <c r="J15" s="7">
        <f>SUM(J6:J14)</f>
        <v>122</v>
      </c>
      <c r="K15" s="7">
        <f t="shared" si="4"/>
        <v>0.88405797101449279</v>
      </c>
    </row>
    <row r="16" spans="1:11" ht="22" customHeight="1" x14ac:dyDescent="0.25"/>
    <row r="17" spans="1:11" ht="22" customHeight="1" x14ac:dyDescent="0.25">
      <c r="A17" s="69" t="s">
        <v>73</v>
      </c>
      <c r="B17" s="58"/>
      <c r="C17" s="58"/>
      <c r="D17" s="58"/>
      <c r="E17" s="58"/>
      <c r="F17" s="58"/>
      <c r="G17" s="58"/>
      <c r="H17" s="58"/>
      <c r="I17" s="58"/>
      <c r="J17" s="58"/>
      <c r="K17" s="59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9" t="s">
        <v>80</v>
      </c>
      <c r="B26" s="58"/>
      <c r="C26" s="58"/>
      <c r="D26" s="58"/>
      <c r="E26" s="58"/>
      <c r="F26" s="58"/>
      <c r="G26" s="58"/>
      <c r="H26" s="58"/>
      <c r="I26" s="58"/>
      <c r="J26" s="58"/>
      <c r="K26" s="59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138</v>
      </c>
      <c r="J36" s="10">
        <f>J15+J24+J35</f>
        <v>122</v>
      </c>
      <c r="K36" s="10">
        <f t="shared" si="12"/>
        <v>0.88405797101449279</v>
      </c>
    </row>
    <row r="39" spans="1:14" ht="30" customHeight="1" x14ac:dyDescent="0.25">
      <c r="A39" s="74" t="s">
        <v>155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</row>
    <row r="40" spans="1:14" ht="6" customHeight="1" x14ac:dyDescent="0.25"/>
    <row r="41" spans="1:14" ht="24" customHeight="1" x14ac:dyDescent="0.25">
      <c r="A41" s="1"/>
      <c r="B41" s="1"/>
      <c r="C41" s="73" t="s">
        <v>52</v>
      </c>
      <c r="D41" s="58"/>
      <c r="E41" s="59"/>
      <c r="F41" s="71" t="s">
        <v>106</v>
      </c>
      <c r="G41" s="58"/>
      <c r="H41" s="59"/>
      <c r="I41" s="72" t="s">
        <v>156</v>
      </c>
      <c r="J41" s="58"/>
      <c r="K41" s="59"/>
      <c r="L41" s="70" t="s">
        <v>47</v>
      </c>
      <c r="M41" s="58"/>
      <c r="N41" s="59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9" t="s">
        <v>53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9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704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9" t="s">
        <v>73</v>
      </c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9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9" t="s">
        <v>80</v>
      </c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9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4" t="s">
        <v>157</v>
      </c>
      <c r="B77" s="56"/>
      <c r="C77" s="56"/>
      <c r="D77" s="56"/>
      <c r="E77" s="56"/>
      <c r="F77" s="56"/>
      <c r="G77" s="56"/>
      <c r="H77" s="56"/>
      <c r="I77" s="56"/>
      <c r="J77" s="56"/>
      <c r="K77" s="56"/>
    </row>
    <row r="78" spans="1:14" ht="6" customHeight="1" x14ac:dyDescent="0.25"/>
    <row r="79" spans="1:14" ht="24" customHeight="1" x14ac:dyDescent="0.25">
      <c r="A79" s="1"/>
      <c r="B79" s="1"/>
      <c r="C79" s="73" t="s">
        <v>158</v>
      </c>
      <c r="D79" s="58"/>
      <c r="E79" s="59"/>
      <c r="F79" s="71" t="s">
        <v>155</v>
      </c>
      <c r="G79" s="58"/>
      <c r="H79" s="59"/>
      <c r="I79" s="70" t="s">
        <v>113</v>
      </c>
      <c r="J79" s="58"/>
      <c r="K79" s="59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9" t="s">
        <v>53</v>
      </c>
      <c r="B81" s="58"/>
      <c r="C81" s="58"/>
      <c r="D81" s="58"/>
      <c r="E81" s="58"/>
      <c r="F81" s="58"/>
      <c r="G81" s="58"/>
      <c r="H81" s="58"/>
      <c r="I81" s="58"/>
      <c r="J81" s="58"/>
      <c r="K81" s="59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32</v>
      </c>
      <c r="D84" s="4">
        <f t="shared" si="34"/>
        <v>28</v>
      </c>
      <c r="E84" s="4">
        <f t="shared" si="35"/>
        <v>0.875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32</v>
      </c>
      <c r="J84" s="4">
        <f t="shared" si="40"/>
        <v>28</v>
      </c>
      <c r="K84" s="4">
        <f t="shared" si="41"/>
        <v>0.875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138</v>
      </c>
      <c r="D91" s="7">
        <f>SUM(D82:D90)</f>
        <v>122</v>
      </c>
      <c r="E91" s="7">
        <f t="shared" si="35"/>
        <v>0.88405797101449279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195</v>
      </c>
      <c r="J91" s="7">
        <f>SUM(J82:J90)</f>
        <v>157</v>
      </c>
      <c r="K91" s="7">
        <f t="shared" si="41"/>
        <v>0.80512820512820515</v>
      </c>
    </row>
    <row r="92" spans="1:11" ht="22" customHeight="1" x14ac:dyDescent="0.25"/>
    <row r="93" spans="1:11" ht="22" customHeight="1" x14ac:dyDescent="0.25">
      <c r="A93" s="69" t="s">
        <v>73</v>
      </c>
      <c r="B93" s="58"/>
      <c r="C93" s="58"/>
      <c r="D93" s="58"/>
      <c r="E93" s="58"/>
      <c r="F93" s="58"/>
      <c r="G93" s="58"/>
      <c r="H93" s="58"/>
      <c r="I93" s="58"/>
      <c r="J93" s="58"/>
      <c r="K93" s="59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9" t="s">
        <v>80</v>
      </c>
      <c r="B102" s="58"/>
      <c r="C102" s="58"/>
      <c r="D102" s="58"/>
      <c r="E102" s="58"/>
      <c r="F102" s="58"/>
      <c r="G102" s="58"/>
      <c r="H102" s="58"/>
      <c r="I102" s="58"/>
      <c r="J102" s="58"/>
      <c r="K102" s="59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138</v>
      </c>
      <c r="D112" s="10">
        <f>D91+D100+D111</f>
        <v>122</v>
      </c>
      <c r="E112" s="10">
        <f t="shared" si="51"/>
        <v>0.88405797101449279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195</v>
      </c>
      <c r="J112" s="10">
        <f>J91+J100+J111</f>
        <v>157</v>
      </c>
      <c r="K112" s="10">
        <f t="shared" si="55"/>
        <v>0.80512820512820515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29" workbookViewId="0">
      <selection activeCell="L20" sqref="L20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5" t="s">
        <v>159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60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57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3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8" t="s">
        <v>211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60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57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topLeftCell="A7"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5" t="s">
        <v>247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60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57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23" zoomScale="86" workbookViewId="0">
      <selection activeCell="H39" sqref="H39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5" t="s">
        <v>270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60" t="s">
        <v>160</v>
      </c>
      <c r="B3" s="58"/>
      <c r="C3" s="58"/>
      <c r="D3" s="58"/>
      <c r="E3" s="58"/>
      <c r="F3" s="58"/>
      <c r="G3" s="58"/>
      <c r="H3" s="58"/>
      <c r="I3" s="58"/>
      <c r="J3" s="58"/>
      <c r="K3" s="59"/>
      <c r="L3" s="11"/>
      <c r="M3" s="57" t="s">
        <v>161</v>
      </c>
      <c r="N3" s="58"/>
      <c r="O3" s="58"/>
      <c r="P3" s="58"/>
      <c r="Q3" s="58"/>
      <c r="R3" s="58"/>
      <c r="S3" s="58"/>
      <c r="T3" s="58"/>
      <c r="U3" s="58"/>
      <c r="V3" s="59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530</v>
      </c>
      <c r="D39" s="18">
        <f>SUM(D5:D38)</f>
        <v>430</v>
      </c>
      <c r="E39" s="18">
        <f t="shared" si="20"/>
        <v>0.81132075471698117</v>
      </c>
      <c r="F39" s="18">
        <f>SUM(F5:F38)</f>
        <v>127</v>
      </c>
      <c r="G39" s="18">
        <f>SUM(G5:G38)</f>
        <v>103</v>
      </c>
      <c r="H39" s="18">
        <f t="shared" si="21"/>
        <v>0.8110236220472441</v>
      </c>
      <c r="I39" s="18">
        <f>SUM(I5:I38)</f>
        <v>403</v>
      </c>
      <c r="J39" s="18">
        <f>SUM(J5:J38)</f>
        <v>327</v>
      </c>
      <c r="K39" s="18">
        <f t="shared" si="23"/>
        <v>0.81141439205955335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530</v>
      </c>
      <c r="D41" s="21">
        <f>D39+O39</f>
        <v>430</v>
      </c>
      <c r="E41" s="21">
        <f>IF(AND(C41&lt;&gt;"",D41&lt;&gt;""),D41/C41,"")</f>
        <v>0.81132075471698117</v>
      </c>
      <c r="F41" s="21">
        <f>F39+Q39</f>
        <v>127</v>
      </c>
      <c r="G41" s="21">
        <f>G39+R39</f>
        <v>103</v>
      </c>
      <c r="H41" s="21">
        <f>IF(AND(F41&lt;&gt;"",G41&lt;&gt;""),G41/F41,"")</f>
        <v>0.8110236220472441</v>
      </c>
      <c r="I41" s="21">
        <f>I39+T39</f>
        <v>403</v>
      </c>
      <c r="J41" s="21">
        <f>J39+U39</f>
        <v>327</v>
      </c>
      <c r="K41" s="21">
        <f>IF(AND(I41&lt;&gt;"",J41&lt;&gt;""),J41/I41,"")</f>
        <v>0.81141439205955335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E12" sqref="E12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24" ht="6" customHeight="1" x14ac:dyDescent="0.25"/>
    <row r="3" spans="1:24" ht="22" customHeight="1" x14ac:dyDescent="0.25">
      <c r="A3" s="45"/>
      <c r="B3" s="77" t="s">
        <v>1</v>
      </c>
      <c r="C3" s="56"/>
      <c r="D3" s="56"/>
      <c r="E3" s="56"/>
      <c r="F3" s="56"/>
      <c r="G3" s="77" t="s">
        <v>2</v>
      </c>
      <c r="H3" s="56"/>
      <c r="I3" s="56"/>
      <c r="J3" s="56"/>
      <c r="K3" s="56"/>
      <c r="L3" s="77" t="s">
        <v>3</v>
      </c>
      <c r="M3" s="56"/>
      <c r="N3" s="56"/>
      <c r="O3" s="56"/>
      <c r="P3" s="56"/>
      <c r="Q3" s="77" t="s">
        <v>4</v>
      </c>
      <c r="R3" s="56"/>
      <c r="S3" s="56"/>
      <c r="T3" s="56"/>
      <c r="U3" s="56"/>
      <c r="V3" s="76" t="s">
        <v>5</v>
      </c>
      <c r="W3" s="56"/>
      <c r="X3" s="56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5</v>
      </c>
      <c r="X11" s="48">
        <f t="shared" si="6"/>
        <v>0.25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9</v>
      </c>
      <c r="F21" s="46">
        <f t="shared" si="0"/>
        <v>0.1125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8</v>
      </c>
      <c r="U21" s="46">
        <f t="shared" si="3"/>
        <v>0.1</v>
      </c>
      <c r="V21" s="46">
        <f>SUM(V5:V20)</f>
        <v>320</v>
      </c>
      <c r="W21" s="46">
        <f>SUM(W5:W20)</f>
        <v>38</v>
      </c>
      <c r="X21" s="46">
        <f t="shared" si="6"/>
        <v>0.11874999999999999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9</v>
      </c>
      <c r="F23" s="53">
        <f>IF(AND(D23&lt;&gt;"",E23&lt;&gt;""),E23/D23,"")</f>
        <v>0.1125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8</v>
      </c>
      <c r="U23" s="53">
        <f>IF(AND(S23&lt;&gt;"",T23&lt;&gt;""),T23/S23,"")</f>
        <v>0.1</v>
      </c>
      <c r="V23" s="53">
        <f>V21</f>
        <v>320</v>
      </c>
      <c r="W23" s="53">
        <f>W21</f>
        <v>38</v>
      </c>
      <c r="X23" s="53">
        <f>IF(AND(V23&lt;&gt;"",W23&lt;&gt;""),W23/V23,"")</f>
        <v>0.11874999999999999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2026-07-04T11:50:14Z</dcterms:modified>
</cp:coreProperties>
</file>