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D462556C-0851-423B-A4D8-B496C94096E7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K9" i="7" l="1"/>
  <c r="J105" i="3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<sst xmlns="http://schemas.openxmlformats.org/spreadsheetml/2006/main" count="500" uniqueCount="263">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</sst>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7" fillId="3" borderId="6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52" t="s">
        <v>19</v>
      </c>
      <c r="B1" s="46"/>
      <c r="C1" s="46"/>
      <c r="D1" s="46"/>
      <c r="E1" s="46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51" t="s">
        <v>22</v>
      </c>
      <c r="B4" s="48"/>
      <c r="C4" s="48"/>
      <c r="D4" s="48"/>
      <c r="E4" s="49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1" t="s">
        <v>58</v>
      </c>
      <c r="B41" s="48"/>
      <c r="C41" s="48"/>
      <c r="D41" s="48"/>
      <c r="E41" s="49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1" t="s">
        <v>76</v>
      </c>
      <c r="B83" s="48"/>
      <c r="C83" s="48"/>
      <c r="D83" s="48"/>
      <c r="E83" s="49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activeCell="F7" sqref="F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3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6" customHeight="1" x14ac:dyDescent="0.25"/>
    <row r="3" spans="1:14" ht="22" customHeight="1" x14ac:dyDescent="0.25">
      <c r="A3" s="31"/>
      <c r="B3" s="31"/>
      <c r="C3" s="54" t="s">
        <v>1</v>
      </c>
      <c r="D3" s="46"/>
      <c r="E3" s="55"/>
      <c r="F3" s="58" t="s">
        <v>2</v>
      </c>
      <c r="G3" s="46"/>
      <c r="H3" s="55"/>
      <c r="I3" s="57" t="s">
        <v>3</v>
      </c>
      <c r="J3" s="46"/>
      <c r="K3" s="55"/>
      <c r="L3" s="56" t="s">
        <v>4</v>
      </c>
      <c r="M3" s="46"/>
      <c r="N3" s="55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abSelected="1" topLeftCell="A31" zoomScale="86" workbookViewId="0">
      <selection activeCell="Y45" sqref="Y45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9" t="s">
        <v>84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6" customHeight="1" x14ac:dyDescent="0.25"/>
    <row r="3" spans="1:11" ht="24" customHeight="1" x14ac:dyDescent="0.25">
      <c r="A3" s="1"/>
      <c r="B3" s="1"/>
      <c r="C3" s="63" t="s">
        <v>22</v>
      </c>
      <c r="D3" s="48"/>
      <c r="E3" s="49"/>
      <c r="F3" s="61" t="s">
        <v>76</v>
      </c>
      <c r="G3" s="48"/>
      <c r="H3" s="49"/>
      <c r="I3" s="62" t="s">
        <v>4</v>
      </c>
      <c r="J3" s="48"/>
      <c r="K3" s="49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60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9"/>
    </row>
    <row r="6" spans="1:11" ht="22" customHeight="1" x14ac:dyDescent="0.25">
      <c r="A6" s="3" t="s">
        <v>86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0" t="s">
        <v>43</v>
      </c>
      <c r="B17" s="48"/>
      <c r="C17" s="48"/>
      <c r="D17" s="48"/>
      <c r="E17" s="48"/>
      <c r="F17" s="48"/>
      <c r="G17" s="48"/>
      <c r="H17" s="48"/>
      <c r="I17" s="48"/>
      <c r="J17" s="48"/>
      <c r="K17" s="49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0" t="s">
        <v>50</v>
      </c>
      <c r="B26" s="48"/>
      <c r="C26" s="48"/>
      <c r="D26" s="48"/>
      <c r="E26" s="48"/>
      <c r="F26" s="48"/>
      <c r="G26" s="48"/>
      <c r="H26" s="48"/>
      <c r="I26" s="48"/>
      <c r="J26" s="48"/>
      <c r="K26" s="49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59" t="s">
        <v>113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</row>
    <row r="40" spans="1:14" ht="6" customHeight="1" x14ac:dyDescent="0.25"/>
    <row r="41" spans="1:14" ht="24" customHeight="1" x14ac:dyDescent="0.25">
      <c r="A41" s="1"/>
      <c r="B41" s="1"/>
      <c r="C41" s="63" t="s">
        <v>22</v>
      </c>
      <c r="D41" s="48"/>
      <c r="E41" s="49"/>
      <c r="F41" s="61" t="s">
        <v>76</v>
      </c>
      <c r="G41" s="48"/>
      <c r="H41" s="49"/>
      <c r="I41" s="64" t="s">
        <v>114</v>
      </c>
      <c r="J41" s="48"/>
      <c r="K41" s="49"/>
      <c r="L41" s="62" t="s">
        <v>4</v>
      </c>
      <c r="M41" s="48"/>
      <c r="N41" s="49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60" t="s">
        <v>23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9"/>
    </row>
    <row r="44" spans="1:14" ht="22" customHeight="1" x14ac:dyDescent="0.25">
      <c r="A44" s="3" t="s">
        <v>86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17</v>
      </c>
      <c r="M44" s="4">
        <f t="shared" ref="M44:M52" si="18">D44+G44+J44</f>
        <v>5</v>
      </c>
      <c r="N44" s="4">
        <f t="shared" ref="N44:N53" si="19">IF(AND(L44&lt;&gt;"",M44&lt;&gt;""),M44/L44,"")</f>
        <v>0.29411764705882354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0</v>
      </c>
      <c r="H53" s="7">
        <f t="shared" si="15"/>
        <v>0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17</v>
      </c>
      <c r="M53" s="7">
        <f>SUM(M44:M52)</f>
        <v>5</v>
      </c>
      <c r="N53" s="7">
        <f t="shared" si="19"/>
        <v>0.29411764705882354</v>
      </c>
    </row>
    <row r="54" spans="1:14" ht="22" customHeight="1" x14ac:dyDescent="0.25"/>
    <row r="55" spans="1:14" ht="22" customHeight="1" x14ac:dyDescent="0.25">
      <c r="A55" s="60" t="s">
        <v>43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9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0" t="s">
        <v>50</v>
      </c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9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0</v>
      </c>
      <c r="H74" s="10">
        <f t="shared" si="28"/>
        <v>0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17</v>
      </c>
      <c r="M74" s="10">
        <f>M53+M62+M73</f>
        <v>5</v>
      </c>
      <c r="N74" s="10">
        <f t="shared" si="31"/>
        <v>0.29411764705882354</v>
      </c>
    </row>
    <row r="77" spans="1:14" ht="30" customHeight="1" x14ac:dyDescent="0.25">
      <c r="A77" s="59" t="s">
        <v>115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</row>
    <row r="78" spans="1:14" ht="6" customHeight="1" x14ac:dyDescent="0.25"/>
    <row r="79" spans="1:14" ht="24" customHeight="1" x14ac:dyDescent="0.25">
      <c r="A79" s="1"/>
      <c r="B79" s="1"/>
      <c r="C79" s="63" t="s">
        <v>116</v>
      </c>
      <c r="D79" s="48"/>
      <c r="E79" s="49"/>
      <c r="F79" s="61" t="s">
        <v>113</v>
      </c>
      <c r="G79" s="48"/>
      <c r="H79" s="49"/>
      <c r="I79" s="62" t="s">
        <v>83</v>
      </c>
      <c r="J79" s="48"/>
      <c r="K79" s="49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60" t="s">
        <v>23</v>
      </c>
      <c r="B81" s="48"/>
      <c r="C81" s="48"/>
      <c r="D81" s="48"/>
      <c r="E81" s="48"/>
      <c r="F81" s="48"/>
      <c r="G81" s="48"/>
      <c r="H81" s="48"/>
      <c r="I81" s="48"/>
      <c r="J81" s="48"/>
      <c r="K81" s="49"/>
    </row>
    <row r="82" spans="1:11" ht="22" customHeight="1" x14ac:dyDescent="0.25">
      <c r="A82" s="3" t="s">
        <v>86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17</v>
      </c>
      <c r="G82" s="4">
        <f t="shared" ref="G82:G90" si="37">M44</f>
        <v>5</v>
      </c>
      <c r="H82" s="4">
        <f t="shared" ref="H82:H91" si="38">IF(AND(F82&lt;&gt;"",G82&lt;&gt;""),G82/F82,"")</f>
        <v>0.29411764705882354</v>
      </c>
      <c r="I82" s="4">
        <f t="shared" ref="I82:I90" si="39">C82+F82</f>
        <v>54</v>
      </c>
      <c r="J82" s="4">
        <f t="shared" ref="J82:J90" si="40">D82+G82</f>
        <v>40</v>
      </c>
      <c r="K82" s="4">
        <f t="shared" ref="K82:K91" si="41">IF(AND(I82&lt;&gt;"",J82&lt;&gt;""),J82/I82,"")</f>
        <v>0.7407407407407407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17</v>
      </c>
      <c r="G91" s="7">
        <f>SUM(G82:G90)</f>
        <v>5</v>
      </c>
      <c r="H91" s="7">
        <f t="shared" si="38"/>
        <v>0.29411764705882354</v>
      </c>
      <c r="I91" s="7">
        <f>SUM(I82:I90)</f>
        <v>54</v>
      </c>
      <c r="J91" s="7">
        <f>SUM(J82:J90)</f>
        <v>40</v>
      </c>
      <c r="K91" s="7">
        <f t="shared" si="41"/>
        <v>0.7407407407407407</v>
      </c>
    </row>
    <row r="92" spans="1:11" ht="22" customHeight="1" x14ac:dyDescent="0.25"/>
    <row r="93" spans="1:11" ht="22" customHeight="1" x14ac:dyDescent="0.25">
      <c r="A93" s="60" t="s">
        <v>43</v>
      </c>
      <c r="B93" s="48"/>
      <c r="C93" s="48"/>
      <c r="D93" s="48"/>
      <c r="E93" s="48"/>
      <c r="F93" s="48"/>
      <c r="G93" s="48"/>
      <c r="H93" s="48"/>
      <c r="I93" s="48"/>
      <c r="J93" s="48"/>
      <c r="K93" s="49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0" t="s">
        <v>50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9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17</v>
      </c>
      <c r="G112" s="10">
        <f>G91+G100+G111</f>
        <v>5</v>
      </c>
      <c r="H112" s="10">
        <f t="shared" si="53"/>
        <v>0.29411764705882354</v>
      </c>
      <c r="I112" s="10">
        <f>I91+I100+I111</f>
        <v>54</v>
      </c>
      <c r="J112" s="10">
        <f>J91+J100+J111</f>
        <v>40</v>
      </c>
      <c r="K112" s="10">
        <f t="shared" si="55"/>
        <v>0.7407407407407407</v>
      </c>
    </row>
  </sheetData>
  <mergeCells count="22"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45" t="s">
        <v>117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260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261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156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157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159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160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161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162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163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164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262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165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262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9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5" t="s">
        <v>166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168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169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170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172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173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174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176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177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178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179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180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181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183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184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185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262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186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188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189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190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191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192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193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194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196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197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198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199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200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201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5" t="s">
        <v>202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203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204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205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206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207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208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210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211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212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213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215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216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218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219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220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221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222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223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224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9" zoomScale="86" workbookViewId="0">
      <selection activeCell="F19" sqref="F19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45" t="s">
        <v>225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227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228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230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231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232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234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235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236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237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238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239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240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241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243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244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245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246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247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248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249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251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252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253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255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256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257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258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259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104</v>
      </c>
      <c r="D39" s="18">
        <f>SUM(D5:D38)</f>
        <v>84</v>
      </c>
      <c r="E39" s="18">
        <f t="shared" si="20"/>
        <v>0.80769230769230771</v>
      </c>
      <c r="F39" s="18">
        <f>SUM(F5:F38)</f>
        <v>28</v>
      </c>
      <c r="G39" s="18">
        <f>SUM(G5:G38)</f>
        <v>24</v>
      </c>
      <c r="H39" s="18">
        <f t="shared" si="21"/>
        <v>0.8571428571428571</v>
      </c>
      <c r="I39" s="18">
        <f>SUM(I5:I38)</f>
        <v>76</v>
      </c>
      <c r="J39" s="18">
        <f>SUM(J5:J38)</f>
        <v>60</v>
      </c>
      <c r="K39" s="18">
        <f t="shared" si="23"/>
        <v>0.78947368421052633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104</v>
      </c>
      <c r="D41" s="21">
        <f>D39+O39</f>
        <v>84</v>
      </c>
      <c r="E41" s="21">
        <f>IF(AND(C41&lt;&gt;"",D41&lt;&gt;""),D41/C41,"")</f>
        <v>0.80769230769230771</v>
      </c>
      <c r="F41" s="21">
        <f>F39+Q39</f>
        <v>28</v>
      </c>
      <c r="G41" s="21">
        <f>G39+R39</f>
        <v>24</v>
      </c>
      <c r="H41" s="21">
        <f>IF(AND(F41&lt;&gt;"",G41&lt;&gt;""),G41/F41,"")</f>
        <v>0.8571428571428571</v>
      </c>
      <c r="I41" s="21">
        <f>I39+T39</f>
        <v>76</v>
      </c>
      <c r="J41" s="21">
        <f>J39+U39</f>
        <v>60</v>
      </c>
      <c r="K41" s="21">
        <f>IF(AND(I41&lt;&gt;"",J41&lt;&gt;""),J41/I41,"")</f>
        <v>0.78947368421052633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2026-06-18T13:41:48Z</dcterms:modified>
</cp:coreProperties>
</file>