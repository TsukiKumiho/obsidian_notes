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642F5922-017B-4145-AD3E-47993928C4F6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V23" i="4" s="1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V16" i="4" s="1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K7" i="4" s="1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E81" i="1" l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112" i="3" s="1"/>
  <c r="H91" i="3"/>
  <c r="K91" i="3" l="1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<sst xmlns="http://schemas.openxmlformats.org/spreadsheetml/2006/main" count="567" uniqueCount="306">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</sst>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B6" sqref="B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116</v>
      </c>
      <c r="G3" s="57"/>
      <c r="H3" s="58"/>
      <c r="I3" s="65" t="s">
        <v>117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118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119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120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121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122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123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124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125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126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7" t="s">
        <v>127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72" t="s">
        <v>52</v>
      </c>
      <c r="D3" s="57"/>
      <c r="E3" s="58"/>
      <c r="F3" s="70" t="s">
        <v>106</v>
      </c>
      <c r="G3" s="57"/>
      <c r="H3" s="58"/>
      <c r="I3" s="69" t="s">
        <v>47</v>
      </c>
      <c r="J3" s="57"/>
      <c r="K3" s="58"/>
    </row>
    <row r="4" spans="1:11" ht="24" customHeight="1" x14ac:dyDescent="0.25">
      <c r="A4" s="2" t="s">
        <v>50</v>
      </c>
      <c r="B4" s="2" t="s">
        <v>128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129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130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131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132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133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134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135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136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137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138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139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140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141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142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143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144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145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146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147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148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149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150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151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152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153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154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155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73" t="s">
        <v>156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72" t="s">
        <v>52</v>
      </c>
      <c r="D41" s="57"/>
      <c r="E41" s="58"/>
      <c r="F41" s="70" t="s">
        <v>106</v>
      </c>
      <c r="G41" s="57"/>
      <c r="H41" s="58"/>
      <c r="I41" s="71" t="s">
        <v>157</v>
      </c>
      <c r="J41" s="57"/>
      <c r="K41" s="58"/>
      <c r="L41" s="69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128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129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130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131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132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133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134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135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136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137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138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139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140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141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142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143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144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145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146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147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148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149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150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151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152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153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154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155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73" t="s">
        <v>158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72" t="s">
        <v>159</v>
      </c>
      <c r="D79" s="57"/>
      <c r="E79" s="58"/>
      <c r="F79" s="70" t="s">
        <v>156</v>
      </c>
      <c r="G79" s="57"/>
      <c r="H79" s="58"/>
      <c r="I79" s="69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128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129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130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131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132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133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134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135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136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137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138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139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140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141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142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143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144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145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146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147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148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149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150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151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152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153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154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155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160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170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171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172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174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175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176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178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179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180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181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183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184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186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187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188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189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190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192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193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194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195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197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198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200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201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202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204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205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206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207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208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209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210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211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210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4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7" t="s">
        <v>212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214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215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216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218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219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220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222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223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224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225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226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227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229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230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231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210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232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234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235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236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237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238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239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240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242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243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244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245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246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247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249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250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251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252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253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254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256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257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258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259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260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261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262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264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265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266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268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269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270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9" zoomScale="86" workbookViewId="0">
      <selection activeCell="A16" sqref="A16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272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273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274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276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277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278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280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281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282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283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284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285</v>
      </c>
      <c r="B18" s="15"/>
      <c r="C18" s="15"/>
      <c r="D18" s="15"/>
      <c r="E18" s="15" t="str">
        <f t="shared" si="2"/>
        <v/>
      </c>
      <c r="F18" s="15"/>
      <c r="G18" s="15"/>
      <c r="H18" s="15" t="str">
        <f>IF(AND(F18&lt;&gt;"",G18&lt;&gt;""),G18/F18,"")</f>
        <v/>
      </c>
      <c r="I18" s="15">
        <f t="shared" si="4"/>
        <v>0</v>
      </c>
      <c r="J18" s="15">
        <f>D18-G18</f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286</v>
      </c>
      <c r="B19" s="15"/>
      <c r="C19" s="15"/>
      <c r="D19" s="15"/>
      <c r="E19" s="15" t="str">
        <f t="shared" si="2"/>
        <v/>
      </c>
      <c r="F19" s="15"/>
      <c r="G19" s="15"/>
      <c r="H19" s="15" t="str">
        <f>IF(AND(F19&lt;&gt;"",G19&lt;&gt;""),G19/F19,"")</f>
        <v/>
      </c>
      <c r="I19" s="15">
        <f t="shared" si="4"/>
        <v>0</v>
      </c>
      <c r="J19" s="15">
        <f>D19-G19</f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287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289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290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291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292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293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294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295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297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298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299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300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301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302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303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304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305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151</v>
      </c>
      <c r="D39" s="18">
        <f>SUM(D5:D38)</f>
        <v>124</v>
      </c>
      <c r="E39" s="18">
        <f t="shared" si="20"/>
        <v>0.82119205298013243</v>
      </c>
      <c r="F39" s="18">
        <f>SUM(F5:F38)</f>
        <v>41</v>
      </c>
      <c r="G39" s="18">
        <f>SUM(G5:G38)</f>
        <v>35</v>
      </c>
      <c r="H39" s="18">
        <f t="shared" si="21"/>
        <v>0.85365853658536583</v>
      </c>
      <c r="I39" s="18">
        <f>SUM(I5:I38)</f>
        <v>110</v>
      </c>
      <c r="J39" s="18">
        <f>SUM(J5:J38)</f>
        <v>89</v>
      </c>
      <c r="K39" s="18">
        <f t="shared" si="23"/>
        <v>0.80909090909090908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151</v>
      </c>
      <c r="D41" s="21">
        <f>D39+O39</f>
        <v>124</v>
      </c>
      <c r="E41" s="21">
        <f>IF(AND(C41&lt;&gt;"",D41&lt;&gt;""),D41/C41,"")</f>
        <v>0.82119205298013243</v>
      </c>
      <c r="F41" s="21">
        <f>F39+Q39</f>
        <v>41</v>
      </c>
      <c r="G41" s="21">
        <f>G39+R39</f>
        <v>35</v>
      </c>
      <c r="H41" s="21">
        <f>IF(AND(F41&lt;&gt;"",G41&lt;&gt;""),G41/F41,"")</f>
        <v>0.85365853658536583</v>
      </c>
      <c r="I41" s="21">
        <f>I39+T39</f>
        <v>110</v>
      </c>
      <c r="J41" s="21">
        <f>J39+U39</f>
        <v>89</v>
      </c>
      <c r="K41" s="21">
        <f>IF(AND(I41&lt;&gt;"",J41&lt;&gt;""),J41/I41,"")</f>
        <v>0.80909090909090908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T7" sqref="T7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/>
      <c r="R9" s="48"/>
      <c r="S9" s="48">
        <v>5</v>
      </c>
      <c r="T9" s="48"/>
      <c r="U9" s="48" t="str">
        <f t="shared" si="3"/>
        <v/>
      </c>
      <c r="V9" s="48">
        <f t="shared" si="4"/>
        <v>20</v>
      </c>
      <c r="W9" s="48">
        <f t="shared" si="5"/>
        <v>7</v>
      </c>
      <c r="X9" s="48">
        <f t="shared" si="6"/>
        <v>0.35</v>
      </c>
    </row>
    <row r="10" spans="1:24" ht="22" customHeight="1" x14ac:dyDescent="0.25">
      <c r="A10" s="48" t="s">
        <v>36</v>
      </c>
      <c r="B10" s="48"/>
      <c r="C10" s="48"/>
      <c r="D10" s="48">
        <v>5</v>
      </c>
      <c r="E10" s="48"/>
      <c r="F10" s="48" t="str">
        <f t="shared" si="0"/>
        <v/>
      </c>
      <c r="G10" s="48"/>
      <c r="H10" s="48"/>
      <c r="I10" s="48">
        <v>5</v>
      </c>
      <c r="J10" s="48"/>
      <c r="K10" s="48" t="str">
        <f t="shared" si="1"/>
        <v/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0</v>
      </c>
      <c r="X10" s="48">
        <f t="shared" si="6"/>
        <v>0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</v>
      </c>
      <c r="F21" s="46">
        <f t="shared" si="0"/>
        <v>2.5000000000000001E-2</v>
      </c>
      <c r="G21" s="50"/>
      <c r="H21" s="50"/>
      <c r="I21" s="46">
        <f>SUM(I5:I20)</f>
        <v>80</v>
      </c>
      <c r="J21" s="46">
        <f>SUM(J5:J20)</f>
        <v>6</v>
      </c>
      <c r="K21" s="46">
        <f t="shared" si="1"/>
        <v>7.4999999999999997E-2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2</v>
      </c>
      <c r="U21" s="46">
        <f t="shared" si="3"/>
        <v>2.5000000000000001E-2</v>
      </c>
      <c r="V21" s="46">
        <f>SUM(V5:V20)</f>
        <v>320</v>
      </c>
      <c r="W21" s="46">
        <f>SUM(W5:W20)</f>
        <v>18</v>
      </c>
      <c r="X21" s="46">
        <f t="shared" si="6"/>
        <v>5.6250000000000001E-2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</v>
      </c>
      <c r="F23" s="53">
        <f>IF(AND(D23&lt;&gt;"",E23&lt;&gt;""),E23/D23,"")</f>
        <v>2.5000000000000001E-2</v>
      </c>
      <c r="G23" s="52"/>
      <c r="H23" s="52"/>
      <c r="I23" s="53">
        <f>I21</f>
        <v>80</v>
      </c>
      <c r="J23" s="53">
        <f>J21</f>
        <v>6</v>
      </c>
      <c r="K23" s="53">
        <f>IF(AND(I23&lt;&gt;"",J23&lt;&gt;""),J23/I23,"")</f>
        <v>7.4999999999999997E-2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2</v>
      </c>
      <c r="U23" s="53">
        <f>IF(AND(S23&lt;&gt;"",T23&lt;&gt;""),T23/S23,"")</f>
        <v>2.5000000000000001E-2</v>
      </c>
      <c r="V23" s="53">
        <f>V21</f>
        <v>320</v>
      </c>
      <c r="W23" s="53">
        <f>W21</f>
        <v>18</v>
      </c>
      <c r="X23" s="53">
        <f>IF(AND(V23&lt;&gt;"",W23&lt;&gt;""),W23/V23,"")</f>
        <v>5.6250000000000001E-2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2026-06-20T12:39:32Z</dcterms:modified>
</cp:coreProperties>
</file>