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357FFD9E-00FD-4488-8A60-7048DF03A398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<sst xmlns="http://schemas.openxmlformats.org/spreadsheetml/2006/main" count="576" uniqueCount="317">
  <si>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</si>
  <si>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</si>
  <si>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</si>
  <si>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</si>
  <si>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</si>
  <si>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</si>
  <si>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</si>
  <si>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</si>
  <si>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</si>
  <si>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</si>
  <si>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</si>
  <si>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</si>
  <si>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</si>
  <si>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</si>
  <si>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</si>
  <si>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</si>
  <si>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</si>
  <si>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</si>
  <si>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</si>
  <si>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</si>
  <si>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</si>
  <si>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</si>
  <si>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</si>
  <si>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</si>
  <si>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</si>
  <si>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</si>
  <si>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</si>
  <si>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</si>
  <si>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</si>
  <si>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</si>
  <si>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</si>
  <si>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</si>
  <si>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</si>
  <si>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</si>
  <si>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</si>
  <si>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</si>
  <si>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</si>
  <si>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</si>
  <si>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</si>
  <si>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</si>
  <si>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</si>
  <si>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</si>
  <si>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</si>
  <si>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</si>
  <si>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</si>
  <si>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</si>
  <si>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</si>
  <si>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</si>
  <si>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</si>
  <si>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</si>
  <si>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</si>
  <si>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</si>
  <si>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</si>
  <si>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</si>
  <si>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</si>
  <si>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</si>
  <si>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</si>
  <si>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</si>
  <si>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</si>
  <si>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</si>
  <si>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</si>
  <si>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</si>
  <si>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</si>
  <si>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</si>
  <si>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</si>
  <si>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</si>
  <si>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</si>
  <si>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</si>
  <si>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</si>
  <si>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</si>
  <si>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</si>
  <si>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</si>
  <si>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</si>
  <si>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</si>
  <si>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</si>
  <si>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</si>
  <si>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</si>
  <si>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</si>
  <si>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</si>
  <si>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</si>
  <si>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</si>
  <si>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</si>
  <si>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</si>
  <si>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</si>
  <si>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</si>
  <si>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</si>
  <si>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</si>
  <si>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</si>
  <si>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</si>
  <si>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</si>
  <si>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</si>
  <si>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</si>
  <si>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</si>
  <si>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</si>
  <si>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</si>
  <si>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</si>
  <si>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</si>
  <si>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</si>
  <si>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</si>
  <si>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</si>
  <si>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</si>
  <si>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</si>
  <si>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</si>
  <si>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</si>
  <si>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</si>
  <si>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</si>
  <si>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</si>
  <si>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</si>
  <si>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</si>
  <si>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</si>
  <si>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</si>
  <si>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</si>
  <si>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</si>
  <si>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</si>
  <si>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</si>
  <si>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</si>
  <si>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</si>
  <si>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</si>
  <si>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</si>
  <si>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</si>
  <si>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</si>
  <si>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</si>
  <si>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</si>
  <si>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</si>
  <si>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</si>
  <si>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</si>
  <si>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</si>
  <si>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</si>
  <si>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</si>
  <si>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</si>
  <si>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</si>
  <si>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</si>
  <si>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</si>
  <si>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</si>
  <si>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</si>
  <si>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</si>
  <si>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</si>
  <si>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</si>
  <si>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</si>
  <si>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</si>
  <si>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</si>
  <si>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</si>
  <si>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</si>
  <si>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</si>
  <si>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</si>
  <si>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</si>
  <si>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</si>
  <si>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</si>
  <si>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</si>
  <si>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</si>
  <si>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</si>
  <si>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</si>
  <si>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</si>
  <si>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</si>
  <si>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</si>
  <si>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</si>
  <si>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</si>
  <si>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</si>
  <si>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</si>
  <si>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</si>
  <si>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</si>
  <si>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</si>
  <si>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</si>
  <si>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</si>
  <si>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</si>
  <si>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</si>
  <si>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</si>
  <si>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</si>
  <si>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</si>
  <si>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</si>
  <si>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</si>
  <si>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</si>
  <si>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</si>
  <si>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</si>
  <si>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</si>
  <si>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</si>
  <si>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</si>
  <si>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</si>
  <si>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</si>
  <si>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</si>
  <si>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</si>
  <si>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</si>
  <si>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</si>
  <si>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</si>
  <si>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</si>
  <si>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</si>
  <si>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</si>
  <si>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</si>
  <si>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</si>
  <si>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</si>
  <si>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</si>
  <si>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</si>
  <si>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</si>
  <si>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</si>
  <si>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</si>
  <si>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</si>
  <si>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</si>
  <si>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</si>
  <si>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</si>
  <si>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</si>
  <si>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</si>
  <si>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</si>
  <si>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</si>
  <si>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</si>
  <si>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</si>
  <si>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</si>
  <si>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</si>
  <si>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</si>
  <si>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</si>
  <si>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</si>
  <si>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</si>
  <si>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</si>
  <si>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</si>
  <si>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</si>
  <si>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</si>
  <si>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</si>
  <si>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</si>
  <si>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</si>
  <si>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</si>
  <si>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</si>
  <si>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</si>
  <si>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</si>
  <si>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</si>
  <si>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</si>
  <si>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</si>
  <si>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</si>
  <si>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</si>
  <si>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</si>
  <si>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</si>
  <si>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</si>
  <si>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</si>
  <si>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</si>
  <si>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</si>
  <si>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</si>
  <si>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</si>
  <si>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</si>
  <si>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</si>
  <si>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</si>
  <si>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</si>
  <si>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</si>
  <si>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</si>
  <si>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</si>
  <si>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</si>
  <si>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</si>
  <si>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</si>
  <si>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</si>
  <si>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</si>
  <si>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</si>
  <si>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</si>
  <si>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</si>
  <si>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</si>
  <si>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</si>
  <si>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</si>
  <si>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</si>
  <si>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</si>
  <si>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</si>
  <si>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</si>
  <si>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</si>
  <si>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</si>
  <si>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</si>
  <si>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</si>
  <si>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</si>
  <si>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</si>
  <si>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</si>
  <si>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</si>
  <si>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</si>
  <si>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</si>
  <si>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</si>
  <si>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</si>
  <si>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</si>
  <si>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</si>
  <si>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</si>
  <si>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</si>
  <si>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</si>
  <si>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</si>
  <si>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</si>
  <si>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</si>
  <si>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</si>
  <si>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</si>
  <si>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</si>
  <si>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</si>
  <si>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</si>
  <si>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</si>
  <si>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</si>
  <si>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</si>
  <si>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</si>
  <si>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</si>
  <si>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</si>
  <si>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</si>
  <si>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</si>
  <si>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</si>
  <si>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</si>
  <si>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</si>
  <si>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</si>
  <si>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</si>
  <si>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</si>
  <si>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</si>
  <si>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</si>
  <si>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</si>
  <si>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</si>
  <si>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</si>
  <si>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</si>
  <si>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</si>
  <si>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</si>
  <si>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</si>
  <si>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</si>
  <si>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</si>
  <si>
    <t>空间解析几何的内容未完成</t>
    <phoneticPr fontId="1" type="noConversion"/>
  </si>
  <si>
    <t>7.30</t>
    <phoneticPr fontId="1" type="noConversion"/>
  </si>
  <si>
    <t>7.31</t>
    <phoneticPr fontId="1" type="noConversion"/>
  </si>
  <si>
    <t>8.1</t>
    <phoneticPr fontId="1" type="noConversion"/>
  </si>
  <si>
    <t>8.3</t>
    <phoneticPr fontId="1" type="noConversion"/>
  </si>
  <si>
    <t>8.4</t>
    <phoneticPr fontId="1" type="noConversion"/>
  </si>
  <si>
    <t>8.6</t>
    <phoneticPr fontId="1" type="noConversion"/>
  </si>
  <si>
    <t>8.7</t>
    <phoneticPr fontId="1" type="noConversion"/>
  </si>
  <si>
    <t>8.8</t>
    <phoneticPr fontId="1" type="noConversion"/>
  </si>
  <si>
    <t>8.10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</si>
</sst>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23" fillId="0" borderId="8" xfId="0" applyNumberFormat="1" applyFont="1" applyBorder="1" applyAlignment="1">
      <alignment horizontal="center" vertical="center"/>
    </xf>
    <xf numFmtId="49" fontId="19" fillId="0" borderId="8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9"/>
      <c r="C1" s="59"/>
      <c r="D1" s="59"/>
      <c r="E1" s="59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2" t="s">
        <v>52</v>
      </c>
      <c r="B4" s="63"/>
      <c r="C4" s="63"/>
      <c r="D4" s="63"/>
      <c r="E4" s="64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2" t="s">
        <v>88</v>
      </c>
      <c r="B41" s="63"/>
      <c r="C41" s="63"/>
      <c r="D41" s="63"/>
      <c r="E41" s="64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2" t="s">
        <v>106</v>
      </c>
      <c r="B83" s="63"/>
      <c r="C83" s="63"/>
      <c r="D83" s="63"/>
      <c r="E83" s="64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J11" sqref="J1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6" t="s">
        <v>114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 ht="6" customHeight="1" x14ac:dyDescent="0.25"/>
    <row r="3" spans="1:14" ht="22" customHeight="1" x14ac:dyDescent="0.25">
      <c r="A3" s="31"/>
      <c r="B3" s="31"/>
      <c r="C3" s="67" t="s">
        <v>115</v>
      </c>
      <c r="D3" s="63"/>
      <c r="E3" s="64"/>
      <c r="F3" s="70" t="s">
        <v>305</v>
      </c>
      <c r="G3" s="63"/>
      <c r="H3" s="64"/>
      <c r="I3" s="69" t="s">
        <v>116</v>
      </c>
      <c r="J3" s="63"/>
      <c r="K3" s="64"/>
      <c r="L3" s="68" t="s">
        <v>47</v>
      </c>
      <c r="M3" s="63"/>
      <c r="N3" s="64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>
        <v>727</v>
      </c>
      <c r="C11" s="34">
        <v>17</v>
      </c>
      <c r="D11" s="34">
        <v>12</v>
      </c>
      <c r="E11" s="34">
        <f t="shared" si="0"/>
        <v>0.70588235294117652</v>
      </c>
      <c r="F11" s="34">
        <v>7</v>
      </c>
      <c r="G11" s="34">
        <v>3</v>
      </c>
      <c r="H11" s="34">
        <f t="shared" si="1"/>
        <v>0.42857142857142855</v>
      </c>
      <c r="I11" s="34">
        <v>23</v>
      </c>
      <c r="J11" s="34">
        <v>16</v>
      </c>
      <c r="K11" s="34">
        <f t="shared" si="2"/>
        <v>0.69565217391304346</v>
      </c>
      <c r="L11" s="34">
        <f t="shared" si="3"/>
        <v>47</v>
      </c>
      <c r="M11" s="34">
        <f t="shared" si="4"/>
        <v>31</v>
      </c>
      <c r="N11" s="34">
        <f t="shared" si="5"/>
        <v>0.65957446808510634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100</v>
      </c>
      <c r="D14" s="37">
        <f>SUM(D5:D13)</f>
        <v>83</v>
      </c>
      <c r="E14" s="37">
        <f t="shared" si="0"/>
        <v>0.83</v>
      </c>
      <c r="F14" s="37">
        <f>SUM(F5:F13)</f>
        <v>80</v>
      </c>
      <c r="G14" s="37">
        <f>SUM(G5:G13)</f>
        <v>63</v>
      </c>
      <c r="H14" s="37">
        <f t="shared" si="1"/>
        <v>0.78749999999999998</v>
      </c>
      <c r="I14" s="37">
        <f>SUM(I5:I13)</f>
        <v>156</v>
      </c>
      <c r="J14" s="37">
        <f>SUM(J5:J13)</f>
        <v>108</v>
      </c>
      <c r="K14" s="37">
        <f t="shared" si="2"/>
        <v>0.69230769230769229</v>
      </c>
      <c r="L14" s="37">
        <f>SUM(L5:L13)</f>
        <v>336</v>
      </c>
      <c r="M14" s="37">
        <f>SUM(M5:M13)</f>
        <v>254</v>
      </c>
      <c r="N14" s="37">
        <f t="shared" si="5"/>
        <v>0.75595238095238093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100</v>
      </c>
      <c r="D16" s="40">
        <f>D14</f>
        <v>83</v>
      </c>
      <c r="E16" s="40">
        <f>IF(AND(C16&lt;&gt;"",D16&lt;&gt;""),D16/C16,"")</f>
        <v>0.83</v>
      </c>
      <c r="F16" s="40">
        <f>F14</f>
        <v>80</v>
      </c>
      <c r="G16" s="40">
        <f>G14</f>
        <v>63</v>
      </c>
      <c r="H16" s="40">
        <f>IF(AND(F16&lt;&gt;"",G16&lt;&gt;""),G16/F16,"")</f>
        <v>0.78749999999999998</v>
      </c>
      <c r="I16" s="40">
        <f>I14</f>
        <v>156</v>
      </c>
      <c r="J16" s="40">
        <f>J14</f>
        <v>108</v>
      </c>
      <c r="K16" s="40">
        <f>IF(AND(I16&lt;&gt;"",J16&lt;&gt;""),J16/I16,"")</f>
        <v>0.69230769230769229</v>
      </c>
      <c r="L16" s="40">
        <f>L14</f>
        <v>336</v>
      </c>
      <c r="M16" s="40">
        <f>M14</f>
        <v>254</v>
      </c>
      <c r="N16" s="40">
        <f>IF(AND(L16&lt;&gt;"",M16&lt;&gt;""),M16/L16,"")</f>
        <v>0.75595238095238093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31" zoomScale="86" workbookViewId="0">
      <selection activeCell="L51" sqref="L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2" ht="30" customHeight="1" x14ac:dyDescent="0.25">
      <c r="A1" s="71" t="s">
        <v>126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2" ht="6" customHeight="1" x14ac:dyDescent="0.25"/>
    <row r="3" spans="1:12" ht="24" customHeight="1" x14ac:dyDescent="0.25">
      <c r="A3" s="1"/>
      <c r="B3" s="1"/>
      <c r="C3" s="76" t="s">
        <v>52</v>
      </c>
      <c r="D3" s="63"/>
      <c r="E3" s="64"/>
      <c r="F3" s="74" t="s">
        <v>106</v>
      </c>
      <c r="G3" s="63"/>
      <c r="H3" s="64"/>
      <c r="I3" s="73" t="s">
        <v>47</v>
      </c>
      <c r="J3" s="63"/>
      <c r="K3" s="64"/>
    </row>
    <row r="4" spans="1:12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2" ht="22" customHeight="1" x14ac:dyDescent="0.25">
      <c r="A5" s="72" t="s">
        <v>53</v>
      </c>
      <c r="B5" s="63"/>
      <c r="C5" s="63"/>
      <c r="D5" s="63"/>
      <c r="E5" s="63"/>
      <c r="F5" s="63"/>
      <c r="G5" s="63"/>
      <c r="H5" s="63"/>
      <c r="I5" s="63"/>
      <c r="J5" s="63"/>
      <c r="K5" s="64"/>
    </row>
    <row r="6" spans="1:12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2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2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2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2" ht="22" customHeight="1" x14ac:dyDescent="0.25">
      <c r="A10" s="3" t="s">
        <v>132</v>
      </c>
      <c r="B10" s="4">
        <v>728</v>
      </c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  <c r="L10" t="s">
        <v>307</v>
      </c>
    </row>
    <row r="11" spans="1:12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2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2" ht="22" customHeight="1" x14ac:dyDescent="0.25">
      <c r="A13" s="3" t="s">
        <v>135</v>
      </c>
      <c r="B13" s="4">
        <v>729</v>
      </c>
      <c r="C13" s="4">
        <v>15</v>
      </c>
      <c r="D13" s="4">
        <v>10</v>
      </c>
      <c r="E13" s="4">
        <f t="shared" si="0"/>
        <v>0.66666666666666663</v>
      </c>
      <c r="F13" s="4">
        <v>20</v>
      </c>
      <c r="G13" s="4">
        <v>18</v>
      </c>
      <c r="H13" s="4">
        <f t="shared" si="1"/>
        <v>0.9</v>
      </c>
      <c r="I13" s="4">
        <f t="shared" si="2"/>
        <v>35</v>
      </c>
      <c r="J13" s="4">
        <f t="shared" si="3"/>
        <v>28</v>
      </c>
      <c r="K13" s="4">
        <f t="shared" si="4"/>
        <v>0.8</v>
      </c>
    </row>
    <row r="14" spans="1:12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2" ht="22" customHeight="1" x14ac:dyDescent="0.25">
      <c r="A15" s="5" t="s">
        <v>137</v>
      </c>
      <c r="B15" s="6"/>
      <c r="C15" s="7">
        <f>SUM(C6:C14)</f>
        <v>96</v>
      </c>
      <c r="D15" s="7">
        <f>SUM(D6:D14)</f>
        <v>81</v>
      </c>
      <c r="E15" s="7">
        <f t="shared" si="0"/>
        <v>0.84375</v>
      </c>
      <c r="F15" s="7">
        <f>SUM(F6:F14)</f>
        <v>110</v>
      </c>
      <c r="G15" s="7">
        <f>SUM(G6:G14)</f>
        <v>96</v>
      </c>
      <c r="H15" s="7">
        <f t="shared" si="1"/>
        <v>0.87272727272727268</v>
      </c>
      <c r="I15" s="7">
        <f>SUM(I6:I14)</f>
        <v>206</v>
      </c>
      <c r="J15" s="7">
        <f>SUM(J6:J14)</f>
        <v>177</v>
      </c>
      <c r="K15" s="7">
        <f t="shared" si="4"/>
        <v>0.85922330097087374</v>
      </c>
    </row>
    <row r="16" spans="1:12" ht="22" customHeight="1" x14ac:dyDescent="0.25"/>
    <row r="17" spans="1:11" ht="22" customHeight="1" x14ac:dyDescent="0.25">
      <c r="A17" s="72" t="s">
        <v>73</v>
      </c>
      <c r="B17" s="63"/>
      <c r="C17" s="63"/>
      <c r="D17" s="63"/>
      <c r="E17" s="63"/>
      <c r="F17" s="63"/>
      <c r="G17" s="63"/>
      <c r="H17" s="63"/>
      <c r="I17" s="63"/>
      <c r="J17" s="63"/>
      <c r="K17" s="64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72" t="s">
        <v>80</v>
      </c>
      <c r="B26" s="63"/>
      <c r="C26" s="63"/>
      <c r="D26" s="63"/>
      <c r="E26" s="63"/>
      <c r="F26" s="63"/>
      <c r="G26" s="63"/>
      <c r="H26" s="63"/>
      <c r="I26" s="63"/>
      <c r="J26" s="63"/>
      <c r="K26" s="64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96</v>
      </c>
      <c r="D36" s="10">
        <f>D15+D24+D35</f>
        <v>81</v>
      </c>
      <c r="E36" s="10">
        <f t="shared" si="9"/>
        <v>0.84375</v>
      </c>
      <c r="F36" s="10">
        <f>F15+F24+F35</f>
        <v>110</v>
      </c>
      <c r="G36" s="10">
        <f>G15+G24+G35</f>
        <v>96</v>
      </c>
      <c r="H36" s="10">
        <f t="shared" si="10"/>
        <v>0.87272727272727268</v>
      </c>
      <c r="I36" s="10">
        <f>I15+I24+I35</f>
        <v>206</v>
      </c>
      <c r="J36" s="10">
        <f>J15+J24+J35</f>
        <v>177</v>
      </c>
      <c r="K36" s="10">
        <f t="shared" si="12"/>
        <v>0.85922330097087374</v>
      </c>
    </row>
    <row r="39" spans="1:15" ht="30" customHeight="1" x14ac:dyDescent="0.25">
      <c r="A39" s="77" t="s">
        <v>155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</row>
    <row r="40" spans="1:15" ht="6" customHeight="1" x14ac:dyDescent="0.25"/>
    <row r="41" spans="1:15" ht="24" customHeight="1" x14ac:dyDescent="0.25">
      <c r="A41" s="1"/>
      <c r="B41" s="1"/>
      <c r="C41" s="76" t="s">
        <v>52</v>
      </c>
      <c r="D41" s="63"/>
      <c r="E41" s="64"/>
      <c r="F41" s="74" t="s">
        <v>106</v>
      </c>
      <c r="G41" s="63"/>
      <c r="H41" s="64"/>
      <c r="I41" s="75" t="s">
        <v>156</v>
      </c>
      <c r="J41" s="63"/>
      <c r="K41" s="64"/>
      <c r="L41" s="73" t="s">
        <v>47</v>
      </c>
      <c r="M41" s="63"/>
      <c r="N41" s="64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72" t="s">
        <v>53</v>
      </c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4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728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729</v>
      </c>
      <c r="C51" s="4">
        <v>13</v>
      </c>
      <c r="D51" s="4">
        <v>8</v>
      </c>
      <c r="E51" s="4">
        <f t="shared" si="14"/>
        <v>0.61538461538461542</v>
      </c>
      <c r="F51" s="4">
        <v>17</v>
      </c>
      <c r="G51" s="4">
        <v>15</v>
      </c>
      <c r="H51" s="4">
        <f>IF(AND(F51&lt;&gt;"",G51&lt;&gt;""),G51/F51,"")</f>
        <v>0.88235294117647056</v>
      </c>
      <c r="I51" s="4">
        <v>2</v>
      </c>
      <c r="J51" s="4">
        <v>1</v>
      </c>
      <c r="K51" s="4">
        <f t="shared" si="16"/>
        <v>0.5</v>
      </c>
      <c r="L51" s="4">
        <f t="shared" si="17"/>
        <v>32</v>
      </c>
      <c r="M51" s="4">
        <f>D51+G51+J51</f>
        <v>24</v>
      </c>
      <c r="N51" s="4">
        <f t="shared" si="19"/>
        <v>0.75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54</v>
      </c>
      <c r="D53" s="7">
        <f>SUM(D44:D52)</f>
        <v>38</v>
      </c>
      <c r="E53" s="7">
        <f t="shared" si="14"/>
        <v>0.70370370370370372</v>
      </c>
      <c r="F53" s="7">
        <f>SUM(F44:F52)</f>
        <v>86</v>
      </c>
      <c r="G53" s="7">
        <f>SUM(G44:G52)</f>
        <v>59</v>
      </c>
      <c r="H53" s="7">
        <f t="shared" si="15"/>
        <v>0.68604651162790697</v>
      </c>
      <c r="I53" s="7">
        <f>SUM(I44:I52)</f>
        <v>7</v>
      </c>
      <c r="J53" s="7">
        <f>SUM(J44:J52)</f>
        <v>2</v>
      </c>
      <c r="K53" s="7">
        <f t="shared" si="16"/>
        <v>0.2857142857142857</v>
      </c>
      <c r="L53" s="7">
        <f>SUM(L44:L52)</f>
        <v>147</v>
      </c>
      <c r="M53" s="7">
        <f>SUM(M44:M52)</f>
        <v>99</v>
      </c>
      <c r="N53" s="7">
        <f t="shared" si="19"/>
        <v>0.67346938775510201</v>
      </c>
    </row>
    <row r="54" spans="1:14" ht="22" customHeight="1" x14ac:dyDescent="0.25"/>
    <row r="55" spans="1:14" ht="22" customHeight="1" x14ac:dyDescent="0.25">
      <c r="A55" s="72" t="s">
        <v>73</v>
      </c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4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72" t="s">
        <v>80</v>
      </c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4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54</v>
      </c>
      <c r="D74" s="10">
        <f>D53+D62+D73</f>
        <v>38</v>
      </c>
      <c r="E74" s="10">
        <f t="shared" si="27"/>
        <v>0.70370370370370372</v>
      </c>
      <c r="F74" s="10">
        <f>F53+F62+F73</f>
        <v>86</v>
      </c>
      <c r="G74" s="10">
        <f>G53+G62+G73</f>
        <v>59</v>
      </c>
      <c r="H74" s="10">
        <f t="shared" si="28"/>
        <v>0.68604651162790697</v>
      </c>
      <c r="I74" s="10">
        <f>I53+I62+I73</f>
        <v>7</v>
      </c>
      <c r="J74" s="10">
        <f>J53+J62+J73</f>
        <v>2</v>
      </c>
      <c r="K74" s="10">
        <f t="shared" si="29"/>
        <v>0.2857142857142857</v>
      </c>
      <c r="L74" s="10">
        <f>L53+L62+L73</f>
        <v>147</v>
      </c>
      <c r="M74" s="10">
        <f>M53+M62+M73</f>
        <v>99</v>
      </c>
      <c r="N74" s="10">
        <f t="shared" si="31"/>
        <v>0.67346938775510201</v>
      </c>
    </row>
    <row r="77" spans="1:14" ht="30" customHeight="1" x14ac:dyDescent="0.25">
      <c r="A77" s="77" t="s">
        <v>157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</row>
    <row r="78" spans="1:14" ht="6" customHeight="1" x14ac:dyDescent="0.25"/>
    <row r="79" spans="1:14" ht="24" customHeight="1" x14ac:dyDescent="0.25">
      <c r="A79" s="1"/>
      <c r="B79" s="1"/>
      <c r="C79" s="76" t="s">
        <v>158</v>
      </c>
      <c r="D79" s="63"/>
      <c r="E79" s="64"/>
      <c r="F79" s="74" t="s">
        <v>155</v>
      </c>
      <c r="G79" s="63"/>
      <c r="H79" s="64"/>
      <c r="I79" s="73" t="s">
        <v>113</v>
      </c>
      <c r="J79" s="63"/>
      <c r="K79" s="64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72" t="s">
        <v>53</v>
      </c>
      <c r="B81" s="63"/>
      <c r="C81" s="63"/>
      <c r="D81" s="63"/>
      <c r="E81" s="63"/>
      <c r="F81" s="63"/>
      <c r="G81" s="63"/>
      <c r="H81" s="63"/>
      <c r="I81" s="63"/>
      <c r="J81" s="63"/>
      <c r="K81" s="64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728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729</v>
      </c>
      <c r="C89" s="4">
        <f t="shared" si="33"/>
        <v>35</v>
      </c>
      <c r="D89" s="4">
        <f t="shared" si="34"/>
        <v>28</v>
      </c>
      <c r="E89" s="4">
        <f t="shared" si="35"/>
        <v>0.8</v>
      </c>
      <c r="F89" s="4">
        <f t="shared" si="36"/>
        <v>32</v>
      </c>
      <c r="G89" s="4">
        <f t="shared" si="37"/>
        <v>24</v>
      </c>
      <c r="H89" s="4">
        <f t="shared" si="38"/>
        <v>0.75</v>
      </c>
      <c r="I89" s="4">
        <f t="shared" si="39"/>
        <v>67</v>
      </c>
      <c r="J89" s="4">
        <f t="shared" si="40"/>
        <v>52</v>
      </c>
      <c r="K89" s="4">
        <f t="shared" si="41"/>
        <v>0.77611940298507465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206</v>
      </c>
      <c r="D91" s="7">
        <f>SUM(D82:D90)</f>
        <v>177</v>
      </c>
      <c r="E91" s="7">
        <f t="shared" si="35"/>
        <v>0.85922330097087374</v>
      </c>
      <c r="F91" s="7">
        <f>SUM(F82:F90)</f>
        <v>147</v>
      </c>
      <c r="G91" s="7">
        <f>SUM(G82:G90)</f>
        <v>99</v>
      </c>
      <c r="H91" s="7">
        <f t="shared" si="38"/>
        <v>0.67346938775510201</v>
      </c>
      <c r="I91" s="7">
        <f>SUM(I82:I90)</f>
        <v>353</v>
      </c>
      <c r="J91" s="7">
        <f>SUM(J82:J90)</f>
        <v>276</v>
      </c>
      <c r="K91" s="7">
        <f t="shared" si="41"/>
        <v>0.78186968838526916</v>
      </c>
    </row>
    <row r="92" spans="1:11" ht="22" customHeight="1" x14ac:dyDescent="0.25"/>
    <row r="93" spans="1:11" ht="22" customHeight="1" x14ac:dyDescent="0.25">
      <c r="A93" s="72" t="s">
        <v>73</v>
      </c>
      <c r="B93" s="63"/>
      <c r="C93" s="63"/>
      <c r="D93" s="63"/>
      <c r="E93" s="63"/>
      <c r="F93" s="63"/>
      <c r="G93" s="63"/>
      <c r="H93" s="63"/>
      <c r="I93" s="63"/>
      <c r="J93" s="63"/>
      <c r="K93" s="64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72" t="s">
        <v>80</v>
      </c>
      <c r="B102" s="63"/>
      <c r="C102" s="63"/>
      <c r="D102" s="63"/>
      <c r="E102" s="63"/>
      <c r="F102" s="63"/>
      <c r="G102" s="63"/>
      <c r="H102" s="63"/>
      <c r="I102" s="63"/>
      <c r="J102" s="63"/>
      <c r="K102" s="64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206</v>
      </c>
      <c r="D112" s="10">
        <f>D91+D100+D111</f>
        <v>177</v>
      </c>
      <c r="E112" s="10">
        <f t="shared" si="51"/>
        <v>0.85922330097087374</v>
      </c>
      <c r="F112" s="10">
        <f>F91+F100+F111</f>
        <v>147</v>
      </c>
      <c r="G112" s="10">
        <f>G91+G100+G111</f>
        <v>99</v>
      </c>
      <c r="H112" s="10">
        <f t="shared" si="53"/>
        <v>0.67346938775510201</v>
      </c>
      <c r="I112" s="10">
        <f>I91+I100+I111</f>
        <v>353</v>
      </c>
      <c r="J112" s="10">
        <f>J91+J100+J111</f>
        <v>276</v>
      </c>
      <c r="K112" s="10">
        <f t="shared" si="55"/>
        <v>0.78186968838526916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8" t="s">
        <v>159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1" t="s">
        <v>211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8" t="s">
        <v>247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8" t="s">
        <v>270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J16" sqref="J16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</row>
    <row r="2" spans="1:24" ht="6" customHeight="1" x14ac:dyDescent="0.25"/>
    <row r="3" spans="1:24" ht="22" customHeight="1" x14ac:dyDescent="0.25">
      <c r="A3" s="45"/>
      <c r="B3" s="61" t="s">
        <v>1</v>
      </c>
      <c r="C3" s="59"/>
      <c r="D3" s="59"/>
      <c r="E3" s="59"/>
      <c r="F3" s="59"/>
      <c r="G3" s="61" t="s">
        <v>2</v>
      </c>
      <c r="H3" s="59"/>
      <c r="I3" s="59"/>
      <c r="J3" s="59"/>
      <c r="K3" s="59"/>
      <c r="L3" s="61" t="s">
        <v>3</v>
      </c>
      <c r="M3" s="59"/>
      <c r="N3" s="59"/>
      <c r="O3" s="59"/>
      <c r="P3" s="59"/>
      <c r="Q3" s="61" t="s">
        <v>4</v>
      </c>
      <c r="R3" s="59"/>
      <c r="S3" s="59"/>
      <c r="T3" s="59"/>
      <c r="U3" s="59"/>
      <c r="V3" s="60" t="s">
        <v>5</v>
      </c>
      <c r="W3" s="59"/>
      <c r="X3" s="59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56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56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56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56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56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56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56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56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56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56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56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56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56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56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56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56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56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56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56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56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56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56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56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56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56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56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56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56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56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56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56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56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56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57" t="s">
        <v>308</v>
      </c>
      <c r="H13" s="48">
        <v>20</v>
      </c>
      <c r="I13" s="48">
        <v>5</v>
      </c>
      <c r="J13" s="55">
        <v>2</v>
      </c>
      <c r="K13" s="48">
        <f t="shared" si="1"/>
        <v>0.4</v>
      </c>
      <c r="L13" s="57" t="s">
        <v>309</v>
      </c>
      <c r="M13" s="48">
        <v>14</v>
      </c>
      <c r="N13" s="48">
        <v>5</v>
      </c>
      <c r="O13" s="48">
        <v>5</v>
      </c>
      <c r="P13" s="48">
        <f t="shared" si="2"/>
        <v>1</v>
      </c>
      <c r="Q13" s="57" t="s">
        <v>310</v>
      </c>
      <c r="R13" s="48">
        <v>23</v>
      </c>
      <c r="S13" s="48">
        <v>5</v>
      </c>
      <c r="T13" s="48">
        <v>3</v>
      </c>
      <c r="U13" s="48">
        <f t="shared" si="3"/>
        <v>0.6</v>
      </c>
      <c r="V13" s="48">
        <f t="shared" si="4"/>
        <v>20</v>
      </c>
      <c r="W13" s="48">
        <f t="shared" si="5"/>
        <v>15</v>
      </c>
      <c r="X13" s="48">
        <f t="shared" si="6"/>
        <v>0.75</v>
      </c>
    </row>
    <row r="14" spans="1:24" ht="22" customHeight="1" x14ac:dyDescent="0.25">
      <c r="A14" s="48" t="s">
        <v>40</v>
      </c>
      <c r="B14" s="57" t="s">
        <v>311</v>
      </c>
      <c r="C14" s="48">
        <v>13</v>
      </c>
      <c r="D14" s="48">
        <v>5</v>
      </c>
      <c r="E14" s="48">
        <v>4</v>
      </c>
      <c r="F14" s="48">
        <f t="shared" si="0"/>
        <v>0.8</v>
      </c>
      <c r="G14" s="57" t="s">
        <v>312</v>
      </c>
      <c r="H14" s="48">
        <v>23</v>
      </c>
      <c r="I14" s="48">
        <v>5</v>
      </c>
      <c r="J14" s="48">
        <v>3</v>
      </c>
      <c r="K14" s="48">
        <f t="shared" si="1"/>
        <v>0.6</v>
      </c>
      <c r="L14" s="57" t="s">
        <v>313</v>
      </c>
      <c r="M14" s="48">
        <v>14</v>
      </c>
      <c r="N14" s="48">
        <v>5</v>
      </c>
      <c r="O14" s="48">
        <v>4</v>
      </c>
      <c r="P14" s="48">
        <f t="shared" si="2"/>
        <v>0.8</v>
      </c>
      <c r="Q14" s="57" t="s">
        <v>314</v>
      </c>
      <c r="R14" s="48">
        <v>22</v>
      </c>
      <c r="S14" s="48">
        <v>5</v>
      </c>
      <c r="T14" s="48">
        <v>5</v>
      </c>
      <c r="U14" s="48">
        <f t="shared" si="3"/>
        <v>1</v>
      </c>
      <c r="V14" s="48">
        <f t="shared" si="4"/>
        <v>20</v>
      </c>
      <c r="W14" s="48">
        <f t="shared" si="5"/>
        <v>16</v>
      </c>
      <c r="X14" s="48">
        <f t="shared" si="6"/>
        <v>0.8</v>
      </c>
    </row>
    <row r="15" spans="1:24" ht="22" customHeight="1" x14ac:dyDescent="0.25">
      <c r="A15" s="48" t="s">
        <v>41</v>
      </c>
      <c r="B15" s="57" t="s">
        <v>315</v>
      </c>
      <c r="C15" s="48">
        <v>21</v>
      </c>
      <c r="D15" s="48">
        <v>5</v>
      </c>
      <c r="E15" s="48">
        <v>4</v>
      </c>
      <c r="F15" s="48">
        <f t="shared" si="0"/>
        <v>0.8</v>
      </c>
      <c r="G15" s="57" t="s">
        <v>316</v>
      </c>
      <c r="H15" s="48">
        <v>17</v>
      </c>
      <c r="I15" s="48">
        <v>5</v>
      </c>
      <c r="J15" s="48">
        <v>5</v>
      </c>
      <c r="K15" s="48">
        <f t="shared" si="1"/>
        <v>1</v>
      </c>
      <c r="L15" s="56"/>
      <c r="M15" s="48"/>
      <c r="N15" s="48">
        <v>5</v>
      </c>
      <c r="O15" s="48"/>
      <c r="P15" s="48" t="str">
        <f t="shared" si="2"/>
        <v/>
      </c>
      <c r="Q15" s="56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9</v>
      </c>
      <c r="X15" s="48">
        <f t="shared" si="6"/>
        <v>0.45</v>
      </c>
    </row>
    <row r="16" spans="1:24" ht="22" customHeight="1" x14ac:dyDescent="0.25">
      <c r="A16" s="48" t="s">
        <v>42</v>
      </c>
      <c r="B16" s="56"/>
      <c r="C16" s="48"/>
      <c r="D16" s="48">
        <v>5</v>
      </c>
      <c r="E16" s="48"/>
      <c r="F16" s="48" t="str">
        <f t="shared" si="0"/>
        <v/>
      </c>
      <c r="G16" s="56"/>
      <c r="H16" s="48"/>
      <c r="I16" s="48">
        <v>5</v>
      </c>
      <c r="J16" s="48"/>
      <c r="K16" s="48" t="str">
        <f t="shared" si="1"/>
        <v/>
      </c>
      <c r="L16" s="56"/>
      <c r="M16" s="48"/>
      <c r="N16" s="48">
        <v>5</v>
      </c>
      <c r="O16" s="48"/>
      <c r="P16" s="48" t="str">
        <f t="shared" si="2"/>
        <v/>
      </c>
      <c r="Q16" s="56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56"/>
      <c r="C17" s="48"/>
      <c r="D17" s="48">
        <v>5</v>
      </c>
      <c r="E17" s="48"/>
      <c r="F17" s="48" t="str">
        <f t="shared" si="0"/>
        <v/>
      </c>
      <c r="G17" s="56"/>
      <c r="H17" s="48"/>
      <c r="I17" s="48">
        <v>5</v>
      </c>
      <c r="J17" s="48"/>
      <c r="K17" s="48" t="str">
        <f t="shared" si="1"/>
        <v/>
      </c>
      <c r="L17" s="56"/>
      <c r="M17" s="48"/>
      <c r="N17" s="48">
        <v>5</v>
      </c>
      <c r="O17" s="48"/>
      <c r="P17" s="48" t="str">
        <f t="shared" si="2"/>
        <v/>
      </c>
      <c r="Q17" s="56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56"/>
      <c r="C18" s="48"/>
      <c r="D18" s="48">
        <v>5</v>
      </c>
      <c r="E18" s="48"/>
      <c r="F18" s="48" t="str">
        <f t="shared" si="0"/>
        <v/>
      </c>
      <c r="G18" s="56"/>
      <c r="H18" s="48"/>
      <c r="I18" s="48">
        <v>5</v>
      </c>
      <c r="J18" s="48"/>
      <c r="K18" s="48" t="str">
        <f t="shared" si="1"/>
        <v/>
      </c>
      <c r="L18" s="56"/>
      <c r="M18" s="48"/>
      <c r="N18" s="48">
        <v>5</v>
      </c>
      <c r="O18" s="48"/>
      <c r="P18" s="48" t="str">
        <f t="shared" si="2"/>
        <v/>
      </c>
      <c r="Q18" s="56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56"/>
      <c r="C19" s="48"/>
      <c r="D19" s="48">
        <v>5</v>
      </c>
      <c r="E19" s="48"/>
      <c r="F19" s="48" t="str">
        <f t="shared" si="0"/>
        <v/>
      </c>
      <c r="G19" s="56"/>
      <c r="H19" s="48"/>
      <c r="I19" s="48">
        <v>5</v>
      </c>
      <c r="J19" s="48"/>
      <c r="K19" s="48" t="str">
        <f t="shared" si="1"/>
        <v/>
      </c>
      <c r="L19" s="56"/>
      <c r="M19" s="48"/>
      <c r="N19" s="48">
        <v>5</v>
      </c>
      <c r="O19" s="48"/>
      <c r="P19" s="48" t="str">
        <f t="shared" si="2"/>
        <v/>
      </c>
      <c r="Q19" s="56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56"/>
      <c r="C20" s="48"/>
      <c r="D20" s="48">
        <v>5</v>
      </c>
      <c r="E20" s="48"/>
      <c r="F20" s="48" t="str">
        <f t="shared" si="0"/>
        <v/>
      </c>
      <c r="G20" s="56"/>
      <c r="H20" s="48"/>
      <c r="I20" s="48">
        <v>5</v>
      </c>
      <c r="J20" s="48"/>
      <c r="K20" s="48" t="str">
        <f t="shared" si="1"/>
        <v/>
      </c>
      <c r="L20" s="56"/>
      <c r="M20" s="48"/>
      <c r="N20" s="48">
        <v>5</v>
      </c>
      <c r="O20" s="48"/>
      <c r="P20" s="48" t="str">
        <f t="shared" si="2"/>
        <v/>
      </c>
      <c r="Q20" s="56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34</v>
      </c>
      <c r="F21" s="46">
        <f t="shared" si="0"/>
        <v>0.42499999999999999</v>
      </c>
      <c r="G21" s="50"/>
      <c r="H21" s="50"/>
      <c r="I21" s="46">
        <f>SUM(I5:I20)</f>
        <v>80</v>
      </c>
      <c r="J21" s="46">
        <f>SUM(J5:J20)</f>
        <v>32</v>
      </c>
      <c r="K21" s="46">
        <f t="shared" si="1"/>
        <v>0.4</v>
      </c>
      <c r="L21" s="50"/>
      <c r="M21" s="50"/>
      <c r="N21" s="46">
        <f>SUM(N5:N20)</f>
        <v>80</v>
      </c>
      <c r="O21" s="46">
        <f>SUM(O5:O20)</f>
        <v>41</v>
      </c>
      <c r="P21" s="46">
        <f t="shared" si="2"/>
        <v>0.51249999999999996</v>
      </c>
      <c r="Q21" s="50"/>
      <c r="R21" s="50"/>
      <c r="S21" s="46">
        <f>SUM(S5:S20)</f>
        <v>80</v>
      </c>
      <c r="T21" s="46">
        <f>SUM(T5:T20)</f>
        <v>29</v>
      </c>
      <c r="U21" s="46">
        <f t="shared" si="3"/>
        <v>0.36249999999999999</v>
      </c>
      <c r="V21" s="46">
        <f>SUM(V5:V20)</f>
        <v>320</v>
      </c>
      <c r="W21" s="46">
        <f>SUM(W5:W20)</f>
        <v>136</v>
      </c>
      <c r="X21" s="46">
        <f t="shared" si="6"/>
        <v>0.42499999999999999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34</v>
      </c>
      <c r="F23" s="53">
        <f>IF(AND(D23&lt;&gt;"",E23&lt;&gt;""),E23/D23,"")</f>
        <v>0.42499999999999999</v>
      </c>
      <c r="G23" s="52"/>
      <c r="H23" s="52"/>
      <c r="I23" s="53">
        <f>I21</f>
        <v>80</v>
      </c>
      <c r="J23" s="53">
        <f>J21</f>
        <v>32</v>
      </c>
      <c r="K23" s="53">
        <f>IF(AND(I23&lt;&gt;"",J23&lt;&gt;""),J23/I23,"")</f>
        <v>0.4</v>
      </c>
      <c r="L23" s="52"/>
      <c r="M23" s="52"/>
      <c r="N23" s="53">
        <f>N21</f>
        <v>80</v>
      </c>
      <c r="O23" s="53">
        <f>O21</f>
        <v>41</v>
      </c>
      <c r="P23" s="53">
        <f>IF(AND(N23&lt;&gt;"",O23&lt;&gt;""),O23/N23,"")</f>
        <v>0.51249999999999996</v>
      </c>
      <c r="Q23" s="52"/>
      <c r="R23" s="52"/>
      <c r="S23" s="53">
        <f>S21</f>
        <v>80</v>
      </c>
      <c r="T23" s="53">
        <f>T21</f>
        <v>29</v>
      </c>
      <c r="U23" s="53">
        <f>IF(AND(S23&lt;&gt;"",T23&lt;&gt;""),T23/S23,"")</f>
        <v>0.36249999999999999</v>
      </c>
      <c r="V23" s="53">
        <f>V21</f>
        <v>320</v>
      </c>
      <c r="W23" s="53">
        <f>W21</f>
        <v>136</v>
      </c>
      <c r="X23" s="53">
        <f>IF(AND(V23&lt;&gt;"",W23&lt;&gt;""),W23/V23,"")</f>
        <v>0.42499999999999999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2026-08-10T11:46:27Z</dcterms:modified>
</cp:coreProperties>
</file>