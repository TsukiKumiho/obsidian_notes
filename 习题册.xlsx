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EBDE4712-0CD3-4314-BF8B-848FDB52A82F}" xr6:coauthVersionLast="47" xr6:coauthVersionMax="47" xr10:uidLastSave="{00000000-0000-0000-0000-000000000000}"/>
  <bookViews>
    <workbookView xWindow="-110" yWindow="-110" windowWidth="25820" windowHeight="15500" activeTab="5" xr2:uid="{00000000-000D-0000-FFFF-FFFF00000000}"/>
  </bookViews>
  <sheets>
    <sheet name="张宇1000题" sheetId="1" r:id="rId1"/>
    <sheet name="武忠祥高数严选题" sheetId="8" r:id="rId2"/>
    <sheet name="李林880专题" sheetId="3" r:id="rId3"/>
    <sheet name="王道数据结构" sheetId="4" r:id="rId4"/>
    <sheet name="王道计组" sheetId="5" r:id="rId5"/>
    <sheet name="王道操作系统" sheetId="6" r:id="rId6"/>
    <sheet name="王道计网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8" l="1"/>
  <c r="J16" i="8" s="1"/>
  <c r="I14" i="8"/>
  <c r="I16" i="8" s="1"/>
  <c r="G14" i="8"/>
  <c r="G16" i="8" s="1"/>
  <c r="F14" i="8"/>
  <c r="F16" i="8" s="1"/>
  <c r="D14" i="8"/>
  <c r="D16" i="8" s="1"/>
  <c r="C14" i="8"/>
  <c r="M13" i="8"/>
  <c r="L13" i="8"/>
  <c r="K13" i="8"/>
  <c r="H13" i="8"/>
  <c r="E13" i="8"/>
  <c r="M12" i="8"/>
  <c r="L12" i="8"/>
  <c r="K12" i="8"/>
  <c r="H12" i="8"/>
  <c r="E12" i="8"/>
  <c r="M11" i="8"/>
  <c r="L11" i="8"/>
  <c r="K11" i="8"/>
  <c r="H11" i="8"/>
  <c r="E11" i="8"/>
  <c r="M10" i="8"/>
  <c r="L10" i="8"/>
  <c r="K10" i="8"/>
  <c r="H10" i="8"/>
  <c r="E10" i="8"/>
  <c r="M9" i="8"/>
  <c r="L9" i="8"/>
  <c r="K9" i="8"/>
  <c r="H9" i="8"/>
  <c r="E9" i="8"/>
  <c r="M8" i="8"/>
  <c r="L8" i="8"/>
  <c r="K8" i="8"/>
  <c r="H8" i="8"/>
  <c r="E8" i="8"/>
  <c r="M7" i="8"/>
  <c r="L7" i="8"/>
  <c r="K7" i="8"/>
  <c r="H7" i="8"/>
  <c r="E7" i="8"/>
  <c r="M6" i="8"/>
  <c r="L6" i="8"/>
  <c r="K6" i="8"/>
  <c r="H6" i="8"/>
  <c r="E6" i="8"/>
  <c r="M5" i="8"/>
  <c r="L5" i="8"/>
  <c r="K5" i="8"/>
  <c r="H5" i="8"/>
  <c r="E5" i="8"/>
  <c r="V41" i="7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G105" i="3" s="1"/>
  <c r="L67" i="3"/>
  <c r="K67" i="3"/>
  <c r="H67" i="3"/>
  <c r="E67" i="3"/>
  <c r="B67" i="3"/>
  <c r="M66" i="3"/>
  <c r="G104" i="3" s="1"/>
  <c r="L66" i="3"/>
  <c r="K66" i="3"/>
  <c r="H66" i="3"/>
  <c r="E66" i="3"/>
  <c r="B66" i="3"/>
  <c r="M65" i="3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F99" i="3" s="1"/>
  <c r="K61" i="3"/>
  <c r="H61" i="3"/>
  <c r="E61" i="3"/>
  <c r="B61" i="3"/>
  <c r="M60" i="3"/>
  <c r="G98" i="3" s="1"/>
  <c r="L60" i="3"/>
  <c r="F98" i="3" s="1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L58" i="3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G89" i="3" s="1"/>
  <c r="L51" i="3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K47" i="3"/>
  <c r="H47" i="3"/>
  <c r="E47" i="3"/>
  <c r="B47" i="3"/>
  <c r="M46" i="3"/>
  <c r="G84" i="3" s="1"/>
  <c r="L46" i="3"/>
  <c r="F84" i="3" s="1"/>
  <c r="K46" i="3"/>
  <c r="H46" i="3"/>
  <c r="E46" i="3"/>
  <c r="B46" i="3"/>
  <c r="M45" i="3"/>
  <c r="G83" i="3" s="1"/>
  <c r="L45" i="3"/>
  <c r="F83" i="3" s="1"/>
  <c r="K45" i="3"/>
  <c r="H45" i="3"/>
  <c r="E45" i="3"/>
  <c r="B45" i="3"/>
  <c r="M44" i="3"/>
  <c r="G82" i="3" s="1"/>
  <c r="L44" i="3"/>
  <c r="F82" i="3" s="1"/>
  <c r="K44" i="3"/>
  <c r="H44" i="3"/>
  <c r="E44" i="3"/>
  <c r="B44" i="3"/>
  <c r="G35" i="3"/>
  <c r="F35" i="3"/>
  <c r="D35" i="3"/>
  <c r="C35" i="3"/>
  <c r="J34" i="3"/>
  <c r="D110" i="3" s="1"/>
  <c r="I34" i="3"/>
  <c r="C110" i="3" s="1"/>
  <c r="H34" i="3"/>
  <c r="E34" i="3"/>
  <c r="J33" i="3"/>
  <c r="D109" i="3" s="1"/>
  <c r="I33" i="3"/>
  <c r="C109" i="3" s="1"/>
  <c r="H33" i="3"/>
  <c r="E33" i="3"/>
  <c r="J32" i="3"/>
  <c r="D108" i="3" s="1"/>
  <c r="I32" i="3"/>
  <c r="C108" i="3" s="1"/>
  <c r="H32" i="3"/>
  <c r="E32" i="3"/>
  <c r="J31" i="3"/>
  <c r="I31" i="3"/>
  <c r="C107" i="3" s="1"/>
  <c r="H31" i="3"/>
  <c r="E31" i="3"/>
  <c r="J30" i="3"/>
  <c r="D106" i="3" s="1"/>
  <c r="I30" i="3"/>
  <c r="C106" i="3" s="1"/>
  <c r="H30" i="3"/>
  <c r="E30" i="3"/>
  <c r="J29" i="3"/>
  <c r="D105" i="3" s="1"/>
  <c r="J105" i="3" s="1"/>
  <c r="I29" i="3"/>
  <c r="H29" i="3"/>
  <c r="E29" i="3"/>
  <c r="J28" i="3"/>
  <c r="D104" i="3" s="1"/>
  <c r="I28" i="3"/>
  <c r="H28" i="3"/>
  <c r="E28" i="3"/>
  <c r="J27" i="3"/>
  <c r="D103" i="3" s="1"/>
  <c r="I27" i="3"/>
  <c r="C103" i="3" s="1"/>
  <c r="H27" i="3"/>
  <c r="E27" i="3"/>
  <c r="G24" i="3"/>
  <c r="F24" i="3"/>
  <c r="D24" i="3"/>
  <c r="C24" i="3"/>
  <c r="J23" i="3"/>
  <c r="D99" i="3" s="1"/>
  <c r="I23" i="3"/>
  <c r="H23" i="3"/>
  <c r="E23" i="3"/>
  <c r="J22" i="3"/>
  <c r="D98" i="3" s="1"/>
  <c r="I22" i="3"/>
  <c r="H22" i="3"/>
  <c r="E22" i="3"/>
  <c r="J21" i="3"/>
  <c r="D97" i="3" s="1"/>
  <c r="I21" i="3"/>
  <c r="H21" i="3"/>
  <c r="E21" i="3"/>
  <c r="J20" i="3"/>
  <c r="D96" i="3" s="1"/>
  <c r="I20" i="3"/>
  <c r="C96" i="3" s="1"/>
  <c r="H20" i="3"/>
  <c r="E20" i="3"/>
  <c r="J19" i="3"/>
  <c r="D95" i="3" s="1"/>
  <c r="I19" i="3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H14" i="3"/>
  <c r="E14" i="3"/>
  <c r="J13" i="3"/>
  <c r="D89" i="3" s="1"/>
  <c r="I13" i="3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C86" i="3" s="1"/>
  <c r="H10" i="3"/>
  <c r="E10" i="3"/>
  <c r="J9" i="3"/>
  <c r="D85" i="3" s="1"/>
  <c r="I9" i="3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C82" i="3" s="1"/>
  <c r="H6" i="3"/>
  <c r="E6" i="3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39" i="1" l="1"/>
  <c r="K14" i="3"/>
  <c r="K21" i="3"/>
  <c r="K28" i="3"/>
  <c r="E73" i="3"/>
  <c r="J99" i="3"/>
  <c r="C47" i="4"/>
  <c r="V6" i="6"/>
  <c r="K9" i="6"/>
  <c r="V11" i="6"/>
  <c r="K22" i="6"/>
  <c r="H28" i="6"/>
  <c r="V18" i="6"/>
  <c r="P39" i="7"/>
  <c r="N7" i="8"/>
  <c r="K7" i="4"/>
  <c r="V10" i="4"/>
  <c r="K14" i="4"/>
  <c r="V16" i="4"/>
  <c r="K21" i="4"/>
  <c r="K27" i="4"/>
  <c r="V29" i="4"/>
  <c r="K33" i="4"/>
  <c r="V35" i="4"/>
  <c r="K39" i="4"/>
  <c r="V41" i="4"/>
  <c r="K44" i="4"/>
  <c r="N11" i="8"/>
  <c r="K10" i="5"/>
  <c r="V12" i="5"/>
  <c r="K16" i="5"/>
  <c r="V18" i="5"/>
  <c r="K22" i="5"/>
  <c r="V24" i="5"/>
  <c r="K28" i="5"/>
  <c r="V30" i="5"/>
  <c r="V37" i="5"/>
  <c r="P40" i="5"/>
  <c r="K20" i="7"/>
  <c r="V9" i="7"/>
  <c r="K13" i="7"/>
  <c r="V15" i="7"/>
  <c r="K18" i="7"/>
  <c r="K24" i="7"/>
  <c r="V26" i="7"/>
  <c r="K30" i="7"/>
  <c r="K36" i="7"/>
  <c r="V38" i="7"/>
  <c r="V21" i="6"/>
  <c r="K25" i="6"/>
  <c r="C36" i="3"/>
  <c r="H83" i="3"/>
  <c r="N69" i="3"/>
  <c r="K8" i="5"/>
  <c r="K15" i="5"/>
  <c r="V17" i="5"/>
  <c r="K21" i="5"/>
  <c r="V23" i="5"/>
  <c r="V29" i="5"/>
  <c r="K32" i="5"/>
  <c r="K39" i="5"/>
  <c r="N51" i="3"/>
  <c r="V13" i="4"/>
  <c r="K16" i="4"/>
  <c r="V19" i="4"/>
  <c r="V25" i="4"/>
  <c r="K29" i="4"/>
  <c r="V32" i="4"/>
  <c r="K35" i="4"/>
  <c r="V38" i="4"/>
  <c r="V8" i="5"/>
  <c r="K12" i="5"/>
  <c r="K24" i="5"/>
  <c r="K30" i="5"/>
  <c r="V32" i="5"/>
  <c r="K37" i="5"/>
  <c r="V39" i="5"/>
  <c r="V7" i="7"/>
  <c r="K11" i="7"/>
  <c r="V14" i="7"/>
  <c r="K17" i="7"/>
  <c r="K28" i="7"/>
  <c r="D42" i="5"/>
  <c r="F36" i="3"/>
  <c r="V7" i="5"/>
  <c r="K11" i="5"/>
  <c r="V14" i="5"/>
  <c r="K17" i="5"/>
  <c r="V19" i="5"/>
  <c r="V26" i="5"/>
  <c r="K29" i="5"/>
  <c r="V31" i="5"/>
  <c r="V9" i="6"/>
  <c r="K13" i="6"/>
  <c r="V15" i="6"/>
  <c r="K19" i="6"/>
  <c r="V10" i="6"/>
  <c r="V13" i="7"/>
  <c r="K16" i="7"/>
  <c r="V24" i="7"/>
  <c r="K27" i="7"/>
  <c r="V30" i="7"/>
  <c r="K34" i="7"/>
  <c r="V36" i="7"/>
  <c r="H39" i="7"/>
  <c r="E89" i="1"/>
  <c r="K22" i="3"/>
  <c r="K29" i="3"/>
  <c r="N49" i="3"/>
  <c r="K11" i="4"/>
  <c r="V14" i="4"/>
  <c r="K18" i="4"/>
  <c r="V21" i="4"/>
  <c r="K24" i="4"/>
  <c r="V27" i="4"/>
  <c r="K30" i="4"/>
  <c r="V33" i="4"/>
  <c r="V39" i="4"/>
  <c r="K42" i="4"/>
  <c r="G42" i="5"/>
  <c r="K23" i="3"/>
  <c r="H35" i="3"/>
  <c r="K53" i="3"/>
  <c r="H62" i="3"/>
  <c r="N67" i="3"/>
  <c r="V38" i="5"/>
  <c r="G36" i="3"/>
  <c r="E35" i="3"/>
  <c r="H84" i="3"/>
  <c r="N58" i="3"/>
  <c r="E62" i="3"/>
  <c r="V13" i="6"/>
  <c r="K16" i="6"/>
  <c r="V26" i="6"/>
  <c r="J109" i="3"/>
  <c r="V16" i="6"/>
  <c r="K7" i="7"/>
  <c r="V10" i="7"/>
  <c r="V16" i="7"/>
  <c r="V22" i="7"/>
  <c r="K25" i="7"/>
  <c r="K37" i="7"/>
  <c r="S39" i="7"/>
  <c r="E94" i="3"/>
  <c r="J82" i="3"/>
  <c r="J89" i="3"/>
  <c r="K21" i="6"/>
  <c r="V23" i="6"/>
  <c r="K13" i="4"/>
  <c r="K19" i="4"/>
  <c r="V22" i="4"/>
  <c r="K25" i="4"/>
  <c r="V28" i="4"/>
  <c r="V40" i="4"/>
  <c r="K43" i="4"/>
  <c r="N52" i="3"/>
  <c r="N66" i="3"/>
  <c r="H73" i="3"/>
  <c r="K31" i="3"/>
  <c r="K9" i="4"/>
  <c r="V11" i="4"/>
  <c r="K8" i="3"/>
  <c r="F90" i="3"/>
  <c r="H90" i="3" s="1"/>
  <c r="P45" i="4"/>
  <c r="K23" i="7"/>
  <c r="N48" i="3"/>
  <c r="N72" i="3"/>
  <c r="J90" i="3"/>
  <c r="G74" i="3"/>
  <c r="F30" i="6"/>
  <c r="V19" i="7"/>
  <c r="N12" i="8"/>
  <c r="N50" i="3"/>
  <c r="K62" i="3"/>
  <c r="K15" i="4"/>
  <c r="V18" i="4"/>
  <c r="K22" i="4"/>
  <c r="V24" i="4"/>
  <c r="K28" i="4"/>
  <c r="V30" i="4"/>
  <c r="K34" i="4"/>
  <c r="V36" i="4"/>
  <c r="K40" i="4"/>
  <c r="V42" i="4"/>
  <c r="H45" i="4"/>
  <c r="K7" i="5"/>
  <c r="K14" i="5"/>
  <c r="V16" i="5"/>
  <c r="K19" i="5"/>
  <c r="V22" i="5"/>
  <c r="K26" i="5"/>
  <c r="K31" i="5"/>
  <c r="V34" i="5"/>
  <c r="K38" i="5"/>
  <c r="V7" i="6"/>
  <c r="K9" i="7"/>
  <c r="V17" i="7"/>
  <c r="K19" i="3"/>
  <c r="H24" i="3"/>
  <c r="H97" i="3"/>
  <c r="C84" i="3"/>
  <c r="I84" i="3" s="1"/>
  <c r="K6" i="4"/>
  <c r="V9" i="4"/>
  <c r="K26" i="7"/>
  <c r="K32" i="7"/>
  <c r="V35" i="7"/>
  <c r="K38" i="7"/>
  <c r="N5" i="8"/>
  <c r="N9" i="8"/>
  <c r="N13" i="8"/>
  <c r="K14" i="7"/>
  <c r="C99" i="3"/>
  <c r="I99" i="3" s="1"/>
  <c r="K99" i="3" s="1"/>
  <c r="F47" i="4"/>
  <c r="K14" i="6"/>
  <c r="J104" i="3"/>
  <c r="C30" i="6"/>
  <c r="G30" i="6"/>
  <c r="V31" i="7"/>
  <c r="J74" i="3"/>
  <c r="K35" i="7"/>
  <c r="V15" i="4"/>
  <c r="G47" i="4"/>
  <c r="K35" i="5"/>
  <c r="K27" i="6"/>
  <c r="J39" i="7"/>
  <c r="V20" i="7"/>
  <c r="K7" i="6"/>
  <c r="J87" i="3"/>
  <c r="J95" i="3"/>
  <c r="K10" i="4"/>
  <c r="V8" i="6"/>
  <c r="K11" i="6"/>
  <c r="V14" i="6"/>
  <c r="K18" i="6"/>
  <c r="D74" i="3"/>
  <c r="F104" i="3"/>
  <c r="H104" i="3" s="1"/>
  <c r="I110" i="3"/>
  <c r="J88" i="3"/>
  <c r="J84" i="3"/>
  <c r="F87" i="3"/>
  <c r="H87" i="3" s="1"/>
  <c r="V11" i="5"/>
  <c r="K27" i="5"/>
  <c r="V27" i="6"/>
  <c r="V18" i="7"/>
  <c r="D41" i="7"/>
  <c r="H16" i="8"/>
  <c r="N68" i="3"/>
  <c r="V23" i="4"/>
  <c r="K41" i="4"/>
  <c r="V43" i="4"/>
  <c r="V10" i="5"/>
  <c r="V27" i="5"/>
  <c r="V35" i="5"/>
  <c r="K23" i="6"/>
  <c r="S28" i="6"/>
  <c r="K22" i="7"/>
  <c r="S45" i="4"/>
  <c r="E15" i="3"/>
  <c r="J98" i="3"/>
  <c r="E106" i="3"/>
  <c r="K34" i="3"/>
  <c r="F86" i="3"/>
  <c r="H86" i="3" s="1"/>
  <c r="C105" i="3"/>
  <c r="C74" i="3"/>
  <c r="H99" i="3"/>
  <c r="K36" i="4"/>
  <c r="K34" i="5"/>
  <c r="N6" i="8"/>
  <c r="N10" i="8"/>
  <c r="N8" i="8"/>
  <c r="J97" i="3"/>
  <c r="N71" i="3"/>
  <c r="J94" i="3"/>
  <c r="U28" i="6"/>
  <c r="M14" i="8"/>
  <c r="M16" i="8" s="1"/>
  <c r="K12" i="3"/>
  <c r="K30" i="3"/>
  <c r="D36" i="3"/>
  <c r="V6" i="4"/>
  <c r="V44" i="4"/>
  <c r="K6" i="5"/>
  <c r="K23" i="5"/>
  <c r="V28" i="5"/>
  <c r="V34" i="7"/>
  <c r="H14" i="8"/>
  <c r="V21" i="5"/>
  <c r="P28" i="6"/>
  <c r="G91" i="3"/>
  <c r="I28" i="6"/>
  <c r="I24" i="3"/>
  <c r="N70" i="3"/>
  <c r="K73" i="3"/>
  <c r="E45" i="4"/>
  <c r="J40" i="5"/>
  <c r="K14" i="8"/>
  <c r="I108" i="3"/>
  <c r="T45" i="4"/>
  <c r="D91" i="1"/>
  <c r="J85" i="3"/>
  <c r="L62" i="3"/>
  <c r="V7" i="4"/>
  <c r="F94" i="3"/>
  <c r="H94" i="3" s="1"/>
  <c r="K6" i="7"/>
  <c r="C97" i="3"/>
  <c r="E97" i="3" s="1"/>
  <c r="T40" i="5"/>
  <c r="V25" i="6"/>
  <c r="V23" i="7"/>
  <c r="H98" i="3"/>
  <c r="J106" i="3"/>
  <c r="M62" i="3"/>
  <c r="G96" i="3"/>
  <c r="G100" i="3" s="1"/>
  <c r="U40" i="5"/>
  <c r="S40" i="5"/>
  <c r="C90" i="3"/>
  <c r="D47" i="4"/>
  <c r="E47" i="4" s="1"/>
  <c r="J86" i="3"/>
  <c r="K33" i="3"/>
  <c r="J28" i="6"/>
  <c r="J83" i="3"/>
  <c r="F96" i="3"/>
  <c r="K16" i="8"/>
  <c r="H40" i="5"/>
  <c r="E81" i="1"/>
  <c r="L53" i="3"/>
  <c r="F89" i="3"/>
  <c r="H89" i="3" s="1"/>
  <c r="K23" i="4"/>
  <c r="K32" i="4"/>
  <c r="V34" i="4"/>
  <c r="K38" i="4"/>
  <c r="V6" i="5"/>
  <c r="V15" i="5"/>
  <c r="K18" i="5"/>
  <c r="K10" i="7"/>
  <c r="V28" i="7"/>
  <c r="V37" i="7"/>
  <c r="I106" i="3"/>
  <c r="H106" i="3"/>
  <c r="I109" i="3"/>
  <c r="E109" i="3"/>
  <c r="E86" i="3"/>
  <c r="I83" i="3"/>
  <c r="E96" i="3"/>
  <c r="G103" i="3"/>
  <c r="M73" i="3"/>
  <c r="H109" i="3"/>
  <c r="K26" i="6"/>
  <c r="K15" i="7"/>
  <c r="U45" i="4"/>
  <c r="K6" i="6"/>
  <c r="V25" i="7"/>
  <c r="I39" i="7"/>
  <c r="N44" i="3"/>
  <c r="I40" i="5"/>
  <c r="V19" i="6"/>
  <c r="E83" i="3"/>
  <c r="H15" i="3"/>
  <c r="E87" i="3"/>
  <c r="K11" i="3"/>
  <c r="K7" i="3"/>
  <c r="M53" i="3"/>
  <c r="J110" i="3"/>
  <c r="K27" i="3"/>
  <c r="D107" i="3"/>
  <c r="J107" i="3" s="1"/>
  <c r="T28" i="6"/>
  <c r="E14" i="8"/>
  <c r="C16" i="8"/>
  <c r="E16" i="8" s="1"/>
  <c r="D100" i="3"/>
  <c r="K18" i="3"/>
  <c r="E108" i="3"/>
  <c r="K9" i="3"/>
  <c r="C85" i="3"/>
  <c r="N56" i="3"/>
  <c r="C95" i="3"/>
  <c r="F105" i="3"/>
  <c r="H105" i="3" s="1"/>
  <c r="F42" i="5"/>
  <c r="K15" i="6"/>
  <c r="V32" i="7"/>
  <c r="N61" i="3"/>
  <c r="E110" i="3"/>
  <c r="F107" i="3"/>
  <c r="H107" i="3" s="1"/>
  <c r="U39" i="7"/>
  <c r="H110" i="3"/>
  <c r="K13" i="3"/>
  <c r="C89" i="3"/>
  <c r="H82" i="3"/>
  <c r="C91" i="1"/>
  <c r="I82" i="3"/>
  <c r="F85" i="3"/>
  <c r="H85" i="3" s="1"/>
  <c r="C88" i="3"/>
  <c r="C98" i="3"/>
  <c r="G108" i="3"/>
  <c r="J108" i="3" s="1"/>
  <c r="I45" i="4"/>
  <c r="E24" i="3"/>
  <c r="N46" i="3"/>
  <c r="K19" i="7"/>
  <c r="N47" i="3"/>
  <c r="T39" i="7"/>
  <c r="V6" i="7"/>
  <c r="J35" i="3"/>
  <c r="I74" i="3"/>
  <c r="J15" i="3"/>
  <c r="J45" i="4"/>
  <c r="J24" i="3"/>
  <c r="I103" i="3"/>
  <c r="E103" i="3"/>
  <c r="D30" i="6"/>
  <c r="I15" i="3"/>
  <c r="E53" i="3"/>
  <c r="N57" i="3"/>
  <c r="F95" i="3"/>
  <c r="H95" i="3" s="1"/>
  <c r="N60" i="3"/>
  <c r="L73" i="3"/>
  <c r="E40" i="5"/>
  <c r="C42" i="5"/>
  <c r="K10" i="6"/>
  <c r="E28" i="6"/>
  <c r="N45" i="3"/>
  <c r="D91" i="3"/>
  <c r="K32" i="3"/>
  <c r="F41" i="7"/>
  <c r="L14" i="8"/>
  <c r="F88" i="3"/>
  <c r="H88" i="3" s="1"/>
  <c r="E39" i="7"/>
  <c r="C41" i="7"/>
  <c r="K10" i="3"/>
  <c r="H53" i="3"/>
  <c r="F74" i="3"/>
  <c r="V27" i="7"/>
  <c r="C104" i="3"/>
  <c r="I35" i="3"/>
  <c r="E82" i="3"/>
  <c r="K6" i="3"/>
  <c r="K20" i="3"/>
  <c r="N65" i="3"/>
  <c r="K8" i="6"/>
  <c r="V22" i="6"/>
  <c r="V11" i="7"/>
  <c r="K31" i="7"/>
  <c r="G41" i="7"/>
  <c r="N59" i="3"/>
  <c r="K110" i="3" l="1"/>
  <c r="J42" i="5"/>
  <c r="E36" i="3"/>
  <c r="H36" i="3"/>
  <c r="E42" i="5"/>
  <c r="K84" i="3"/>
  <c r="H42" i="5"/>
  <c r="H74" i="3"/>
  <c r="K109" i="3"/>
  <c r="I90" i="3"/>
  <c r="K90" i="3" s="1"/>
  <c r="K108" i="3"/>
  <c r="E30" i="6"/>
  <c r="I105" i="3"/>
  <c r="K105" i="3" s="1"/>
  <c r="E74" i="3"/>
  <c r="G111" i="3"/>
  <c r="G112" i="3" s="1"/>
  <c r="H108" i="3"/>
  <c r="K28" i="6"/>
  <c r="H96" i="3"/>
  <c r="I94" i="3"/>
  <c r="K94" i="3" s="1"/>
  <c r="V40" i="5"/>
  <c r="E99" i="3"/>
  <c r="N62" i="3"/>
  <c r="J91" i="3"/>
  <c r="K106" i="3"/>
  <c r="E41" i="7"/>
  <c r="I87" i="3"/>
  <c r="K87" i="3" s="1"/>
  <c r="H47" i="4"/>
  <c r="C91" i="3"/>
  <c r="E91" i="3" s="1"/>
  <c r="K24" i="3"/>
  <c r="C100" i="3"/>
  <c r="E100" i="3" s="1"/>
  <c r="E90" i="3"/>
  <c r="V45" i="4"/>
  <c r="K74" i="3"/>
  <c r="V28" i="6"/>
  <c r="H30" i="6"/>
  <c r="J41" i="7"/>
  <c r="E84" i="3"/>
  <c r="N73" i="3"/>
  <c r="J103" i="3"/>
  <c r="K103" i="3" s="1"/>
  <c r="K83" i="3"/>
  <c r="I96" i="3"/>
  <c r="E105" i="3"/>
  <c r="J96" i="3"/>
  <c r="J100" i="3" s="1"/>
  <c r="I30" i="6"/>
  <c r="J30" i="6"/>
  <c r="V39" i="7"/>
  <c r="M74" i="3"/>
  <c r="E91" i="1"/>
  <c r="I97" i="3"/>
  <c r="K97" i="3" s="1"/>
  <c r="I86" i="3"/>
  <c r="K86" i="3" s="1"/>
  <c r="I41" i="7"/>
  <c r="K39" i="7"/>
  <c r="K45" i="4"/>
  <c r="I47" i="4"/>
  <c r="K15" i="3"/>
  <c r="I36" i="3"/>
  <c r="I95" i="3"/>
  <c r="K95" i="3" s="1"/>
  <c r="E95" i="3"/>
  <c r="N53" i="3"/>
  <c r="K35" i="3"/>
  <c r="C111" i="3"/>
  <c r="I104" i="3"/>
  <c r="K104" i="3" s="1"/>
  <c r="E104" i="3"/>
  <c r="I98" i="3"/>
  <c r="K98" i="3" s="1"/>
  <c r="E98" i="3"/>
  <c r="E107" i="3"/>
  <c r="L74" i="3"/>
  <c r="F111" i="3"/>
  <c r="I88" i="3"/>
  <c r="K88" i="3" s="1"/>
  <c r="E88" i="3"/>
  <c r="E85" i="3"/>
  <c r="I85" i="3"/>
  <c r="K85" i="3" s="1"/>
  <c r="I107" i="3"/>
  <c r="K107" i="3" s="1"/>
  <c r="D111" i="3"/>
  <c r="D112" i="3" s="1"/>
  <c r="H103" i="3"/>
  <c r="E89" i="3"/>
  <c r="I89" i="3"/>
  <c r="K89" i="3" s="1"/>
  <c r="F100" i="3"/>
  <c r="H100" i="3" s="1"/>
  <c r="L16" i="8"/>
  <c r="N16" i="8" s="1"/>
  <c r="N14" i="8"/>
  <c r="J47" i="4"/>
  <c r="K82" i="3"/>
  <c r="H41" i="7"/>
  <c r="J36" i="3"/>
  <c r="F91" i="3"/>
  <c r="K40" i="5"/>
  <c r="I42" i="5"/>
  <c r="K42" i="5" l="1"/>
  <c r="N74" i="3"/>
  <c r="H111" i="3"/>
  <c r="K41" i="7"/>
  <c r="J111" i="3"/>
  <c r="J112" i="3" s="1"/>
  <c r="E111" i="3"/>
  <c r="K30" i="6"/>
  <c r="K96" i="3"/>
  <c r="K36" i="3"/>
  <c r="I111" i="3"/>
  <c r="K111" i="3" s="1"/>
  <c r="I100" i="3"/>
  <c r="K100" i="3" s="1"/>
  <c r="K47" i="4"/>
  <c r="H91" i="3"/>
  <c r="F112" i="3"/>
  <c r="H112" i="3" s="1"/>
  <c r="I91" i="3"/>
  <c r="C112" i="3"/>
  <c r="E112" i="3" s="1"/>
  <c r="K91" i="3" l="1"/>
  <c r="I112" i="3"/>
  <c r="K112" i="3" s="1"/>
</calcChain>
</file>

<file path=xl/sharedStrings.xml><?xml version="1.0" encoding="utf-8"?>
<sst xmlns="http://schemas.openxmlformats.org/spreadsheetml/2006/main" count="496" uniqueCount="261">
  <si>
    <t>高等数学辅导讲义严选题 习题正确率记录</t>
  </si>
  <si>
    <t>选择题</t>
  </si>
  <si>
    <t>填空题</t>
  </si>
  <si>
    <t>问答题</t>
  </si>
  <si>
    <t>合计</t>
  </si>
  <si>
    <t>章节</t>
  </si>
  <si>
    <t>总题数</t>
  </si>
  <si>
    <t>正确数</t>
  </si>
  <si>
    <t>正确率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</si>
  <si>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</si>
  <si>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</si>
  <si>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</si>
  <si>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</si>
  <si>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</si>
  <si>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</si>
  <si>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</si>
  <si>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</si>
  <si>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</si>
  <si>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总  计</t>
  </si>
  <si>
    <t>张宇1000题 习题册正确率记录</t>
  </si>
  <si>
    <t>日期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</si>
  <si>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</si>
  <si>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</si>
  <si>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</si>
  <si>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</si>
  <si>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</si>
  <si>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</si>
  <si>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</si>
  <si>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</si>
  <si>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</si>
  <si>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</si>
  <si>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</si>
  <si>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</si>
  <si>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</si>
  <si>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</si>
  <si>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</si>
  <si>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</si>
  <si>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</si>
  <si>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</si>
  <si>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</si>
  <si>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</si>
  <si>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</si>
  <si>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</si>
  <si>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</si>
  <si>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</si>
  <si>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</si>
  <si>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</si>
  <si>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</si>
  <si>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</si>
  <si>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</si>
  <si>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</si>
  <si>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</si>
  <si>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</si>
  <si>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</si>
  <si>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</si>
  <si>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</si>
  <si>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</si>
  <si>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</si>
  <si>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</si>
  <si>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</si>
  <si>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</si>
  <si>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</si>
  <si>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</si>
  <si>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</si>
  <si>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</si>
  <si>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</si>
  <si>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</si>
  <si>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</si>
  <si>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</si>
  <si>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</si>
  <si>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</si>
  <si>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</si>
  <si>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</si>
  <si>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</si>
  <si>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</si>
  <si>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</si>
  <si>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</si>
  <si>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</si>
  <si>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</si>
  <si>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</si>
  <si>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</si>
  <si>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</si>
  <si>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</si>
  <si>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</si>
  <si>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李林880专题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</si>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</sst>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7" xfId="0" applyBorder="1"/>
    <xf numFmtId="0" fontId="17" fillId="2" borderId="7" xfId="0" applyFont="1" applyFill="1" applyBorder="1" applyAlignment="1">
      <alignment horizontal="center" vertical="center"/>
    </xf>
    <xf numFmtId="0" fontId="18" fillId="0" borderId="7" xfId="0" applyFont="1" applyBorder="1" applyAlignment="1">
      <alignment horizontal="left" vertical="center"/>
    </xf>
    <xf numFmtId="0" fontId="18" fillId="0" borderId="7" xfId="0" applyFont="1" applyBorder="1" applyAlignment="1">
      <alignment horizontal="center" vertical="center"/>
    </xf>
    <xf numFmtId="0" fontId="16" fillId="4" borderId="7" xfId="0" applyFont="1" applyFill="1" applyBorder="1" applyAlignment="1">
      <alignment horizontal="left" vertical="center"/>
    </xf>
    <xf numFmtId="0" fontId="0" fillId="4" borderId="7" xfId="0" applyFill="1" applyBorder="1"/>
    <xf numFmtId="0" fontId="16" fillId="4" borderId="7" xfId="0" applyFont="1" applyFill="1" applyBorder="1" applyAlignment="1">
      <alignment horizontal="center" vertical="center"/>
    </xf>
    <xf numFmtId="0" fontId="16" fillId="6" borderId="7" xfId="0" applyFont="1" applyFill="1" applyBorder="1" applyAlignment="1">
      <alignment horizontal="left" vertical="center"/>
    </xf>
    <xf numFmtId="0" fontId="0" fillId="6" borderId="7" xfId="0" applyFill="1" applyBorder="1"/>
    <xf numFmtId="0" fontId="16" fillId="6" borderId="7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3" fillId="8" borderId="6" xfId="0" applyFont="1" applyFill="1" applyBorder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11" fillId="0" borderId="0" xfId="0" applyFont="1" applyAlignment="1">
      <alignment horizontal="center" vertical="center"/>
    </xf>
    <xf numFmtId="0" fontId="0" fillId="0" borderId="0" xfId="0"/>
    <xf numFmtId="0" fontId="15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0" fontId="0" fillId="0" borderId="7" xfId="0" applyBorder="1"/>
    <xf numFmtId="0" fontId="16" fillId="7" borderId="7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5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8" borderId="6" xfId="0" applyFont="1" applyFill="1" applyBorder="1" applyAlignment="1">
      <alignment horizontal="left" vertical="center"/>
    </xf>
    <xf numFmtId="0" fontId="3" fillId="7" borderId="6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9" borderId="6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1">
    <cellStyle name="常规" xfId="0" builtinId="0"/>
  </cellStyles>
  <dxfs count="68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3" workbookViewId="0">
      <selection activeCell="A12" sqref="A12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45" t="s">
        <v>19</v>
      </c>
      <c r="B1" s="46"/>
      <c r="C1" s="46"/>
      <c r="D1" s="46"/>
      <c r="E1" s="46"/>
    </row>
    <row r="2" spans="1:5" ht="6" customHeight="1" x14ac:dyDescent="0.25"/>
    <row r="3" spans="1:5" ht="24" customHeight="1" x14ac:dyDescent="0.25">
      <c r="A3" s="22" t="s">
        <v>5</v>
      </c>
      <c r="B3" s="22" t="s">
        <v>20</v>
      </c>
      <c r="C3" s="22" t="s">
        <v>21</v>
      </c>
      <c r="D3" s="22" t="s">
        <v>7</v>
      </c>
      <c r="E3" s="22" t="s">
        <v>8</v>
      </c>
    </row>
    <row r="4" spans="1:5" ht="22" customHeight="1" x14ac:dyDescent="0.25">
      <c r="A4" s="42" t="s">
        <v>22</v>
      </c>
      <c r="B4" s="43"/>
      <c r="C4" s="43"/>
      <c r="D4" s="43"/>
      <c r="E4" s="44"/>
    </row>
    <row r="5" spans="1:5" ht="22" customHeight="1" x14ac:dyDescent="0.25">
      <c r="A5" s="23" t="s">
        <v>23</v>
      </c>
      <c r="B5" s="30"/>
      <c r="C5" s="30"/>
      <c r="D5" s="30"/>
      <c r="E5" s="30"/>
    </row>
    <row r="6" spans="1:5" ht="22" customHeight="1" x14ac:dyDescent="0.25">
      <c r="A6" s="24" t="s">
        <v>24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25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26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27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28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29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30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31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32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33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34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35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36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37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38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39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40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41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42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43</v>
      </c>
      <c r="B25" s="30"/>
      <c r="C25" s="30"/>
      <c r="D25" s="30"/>
      <c r="E25" s="30"/>
    </row>
    <row r="26" spans="1:5" ht="22" customHeight="1" x14ac:dyDescent="0.25">
      <c r="A26" s="24" t="s">
        <v>44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45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46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47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48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49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50</v>
      </c>
      <c r="B32" s="30"/>
      <c r="C32" s="30"/>
      <c r="D32" s="30"/>
      <c r="E32" s="30"/>
    </row>
    <row r="33" spans="1:5" ht="22" customHeight="1" x14ac:dyDescent="0.25">
      <c r="A33" s="24" t="s">
        <v>51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52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53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54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55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56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57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42" t="s">
        <v>58</v>
      </c>
      <c r="B41" s="43"/>
      <c r="C41" s="43"/>
      <c r="D41" s="43"/>
      <c r="E41" s="44"/>
    </row>
    <row r="42" spans="1:5" ht="22" customHeight="1" x14ac:dyDescent="0.25">
      <c r="A42" s="23" t="s">
        <v>23</v>
      </c>
      <c r="B42" s="30"/>
      <c r="C42" s="30"/>
      <c r="D42" s="30"/>
      <c r="E42" s="30"/>
    </row>
    <row r="43" spans="1:5" ht="22" customHeight="1" x14ac:dyDescent="0.25">
      <c r="A43" s="24" t="s">
        <v>25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26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27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28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29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30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31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32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33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34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35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36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37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38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39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40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41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42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43</v>
      </c>
      <c r="B61" s="30"/>
      <c r="C61" s="30"/>
      <c r="D61" s="30"/>
      <c r="E61" s="30"/>
    </row>
    <row r="62" spans="1:5" ht="22" customHeight="1" x14ac:dyDescent="0.25">
      <c r="A62" s="24" t="s">
        <v>44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59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60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61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62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63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64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65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66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50</v>
      </c>
      <c r="B71" s="30"/>
      <c r="C71" s="30"/>
      <c r="D71" s="30"/>
      <c r="E71" s="30"/>
    </row>
    <row r="72" spans="1:5" ht="22" customHeight="1" x14ac:dyDescent="0.25">
      <c r="A72" s="24" t="s">
        <v>67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52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68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69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70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71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72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73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74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75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42" t="s">
        <v>76</v>
      </c>
      <c r="B83" s="43"/>
      <c r="C83" s="43"/>
      <c r="D83" s="43"/>
      <c r="E83" s="44"/>
    </row>
    <row r="84" spans="1:5" ht="22" customHeight="1" x14ac:dyDescent="0.25">
      <c r="A84" s="23" t="s">
        <v>77</v>
      </c>
      <c r="B84" s="30"/>
      <c r="C84" s="30"/>
      <c r="D84" s="30"/>
      <c r="E84" s="30"/>
    </row>
    <row r="85" spans="1:5" ht="22" customHeight="1" x14ac:dyDescent="0.25">
      <c r="A85" s="24" t="s">
        <v>78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79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80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81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82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83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680" priority="1" operator="greaterThanOrEqual">
      <formula>0.9</formula>
    </cfRule>
    <cfRule type="cellIs" dxfId="679" priority="2" operator="between">
      <formula>0.8</formula>
      <formula>0.9</formula>
    </cfRule>
    <cfRule type="cellIs" dxfId="678" priority="3" operator="lessThan">
      <formula>0.8</formula>
    </cfRule>
  </conditionalFormatting>
  <conditionalFormatting sqref="E26:E31">
    <cfRule type="cellIs" dxfId="677" priority="4" operator="greaterThanOrEqual">
      <formula>0.9</formula>
    </cfRule>
    <cfRule type="cellIs" dxfId="676" priority="5" operator="between">
      <formula>0.8</formula>
      <formula>0.9</formula>
    </cfRule>
    <cfRule type="cellIs" dxfId="675" priority="6" operator="lessThan">
      <formula>0.8</formula>
    </cfRule>
  </conditionalFormatting>
  <conditionalFormatting sqref="E33:E39">
    <cfRule type="cellIs" dxfId="674" priority="7" operator="greaterThanOrEqual">
      <formula>0.9</formula>
    </cfRule>
    <cfRule type="cellIs" dxfId="673" priority="8" operator="between">
      <formula>0.8</formula>
      <formula>0.9</formula>
    </cfRule>
    <cfRule type="cellIs" dxfId="672" priority="9" operator="lessThan">
      <formula>0.8</formula>
    </cfRule>
  </conditionalFormatting>
  <conditionalFormatting sqref="E43:E60">
    <cfRule type="cellIs" dxfId="671" priority="13" operator="greaterThanOrEqual">
      <formula>0.9</formula>
    </cfRule>
    <cfRule type="cellIs" dxfId="670" priority="14" operator="between">
      <formula>0.8</formula>
      <formula>0.9</formula>
    </cfRule>
    <cfRule type="cellIs" dxfId="669" priority="15" operator="lessThan">
      <formula>0.8</formula>
    </cfRule>
  </conditionalFormatting>
  <conditionalFormatting sqref="E62:E70">
    <cfRule type="cellIs" dxfId="668" priority="16" operator="greaterThanOrEqual">
      <formula>0.9</formula>
    </cfRule>
    <cfRule type="cellIs" dxfId="667" priority="17" operator="between">
      <formula>0.8</formula>
      <formula>0.9</formula>
    </cfRule>
    <cfRule type="cellIs" dxfId="666" priority="18" operator="lessThan">
      <formula>0.8</formula>
    </cfRule>
  </conditionalFormatting>
  <conditionalFormatting sqref="E72:E81">
    <cfRule type="cellIs" dxfId="665" priority="19" operator="greaterThanOrEqual">
      <formula>0.9</formula>
    </cfRule>
    <cfRule type="cellIs" dxfId="664" priority="20" operator="between">
      <formula>0.8</formula>
      <formula>0.9</formula>
    </cfRule>
    <cfRule type="cellIs" dxfId="663" priority="21" operator="lessThan">
      <formula>0.8</formula>
    </cfRule>
  </conditionalFormatting>
  <conditionalFormatting sqref="E85:E89">
    <cfRule type="cellIs" dxfId="662" priority="25" operator="greaterThanOrEqual">
      <formula>0.9</formula>
    </cfRule>
    <cfRule type="cellIs" dxfId="661" priority="26" operator="between">
      <formula>0.8</formula>
      <formula>0.9</formula>
    </cfRule>
    <cfRule type="cellIs" dxfId="660" priority="27" operator="lessThan">
      <formula>0.8</formula>
    </cfRule>
  </conditionalFormatting>
  <conditionalFormatting sqref="E91">
    <cfRule type="cellIs" dxfId="659" priority="31" operator="greaterThanOrEqual">
      <formula>0.9</formula>
    </cfRule>
    <cfRule type="cellIs" dxfId="658" priority="32" operator="between">
      <formula>0.8</formula>
      <formula>0.9</formula>
    </cfRule>
    <cfRule type="cellIs" dxfId="65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/>
  </sheetPr>
  <dimension ref="A1:N16"/>
  <sheetViews>
    <sheetView workbookViewId="0">
      <selection sqref="A1:N1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47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</row>
    <row r="2" spans="1:14" ht="6" customHeight="1" x14ac:dyDescent="0.25"/>
    <row r="3" spans="1:14" ht="22" customHeight="1" x14ac:dyDescent="0.25">
      <c r="A3" s="31"/>
      <c r="B3" s="31"/>
      <c r="C3" s="48" t="s">
        <v>1</v>
      </c>
      <c r="D3" s="46"/>
      <c r="E3" s="49"/>
      <c r="F3" s="52" t="s">
        <v>2</v>
      </c>
      <c r="G3" s="46"/>
      <c r="H3" s="49"/>
      <c r="I3" s="51" t="s">
        <v>3</v>
      </c>
      <c r="J3" s="46"/>
      <c r="K3" s="49"/>
      <c r="L3" s="50" t="s">
        <v>4</v>
      </c>
      <c r="M3" s="46"/>
      <c r="N3" s="49"/>
    </row>
    <row r="4" spans="1:14" ht="22" customHeight="1" x14ac:dyDescent="0.25">
      <c r="A4" s="32" t="s">
        <v>5</v>
      </c>
      <c r="B4" s="32" t="s">
        <v>20</v>
      </c>
      <c r="C4" s="32" t="s">
        <v>6</v>
      </c>
      <c r="D4" s="32" t="s">
        <v>7</v>
      </c>
      <c r="E4" s="32" t="s">
        <v>8</v>
      </c>
      <c r="F4" s="32" t="s">
        <v>6</v>
      </c>
      <c r="G4" s="32" t="s">
        <v>7</v>
      </c>
      <c r="H4" s="32" t="s">
        <v>8</v>
      </c>
      <c r="I4" s="32" t="s">
        <v>6</v>
      </c>
      <c r="J4" s="32" t="s">
        <v>7</v>
      </c>
      <c r="K4" s="32" t="s">
        <v>8</v>
      </c>
      <c r="L4" s="32" t="s">
        <v>6</v>
      </c>
      <c r="M4" s="32" t="s">
        <v>7</v>
      </c>
      <c r="N4" s="32" t="s">
        <v>8</v>
      </c>
    </row>
    <row r="5" spans="1:14" ht="22" customHeight="1" x14ac:dyDescent="0.25">
      <c r="A5" s="33" t="s">
        <v>9</v>
      </c>
      <c r="B5" s="34"/>
      <c r="C5" s="34"/>
      <c r="D5" s="34"/>
      <c r="E5" s="34" t="str">
        <f t="shared" ref="E5:E14" si="0">IF(AND(C5&lt;&gt;"",D5&lt;&gt;""),D5/C5,"")</f>
        <v/>
      </c>
      <c r="F5" s="34"/>
      <c r="G5" s="34"/>
      <c r="H5" s="34" t="str">
        <f t="shared" ref="H5:H14" si="1">IF(AND(F5&lt;&gt;"",G5&lt;&gt;""),G5/F5,"")</f>
        <v/>
      </c>
      <c r="I5" s="34"/>
      <c r="J5" s="34"/>
      <c r="K5" s="34" t="str">
        <f t="shared" ref="K5:K14" si="2">IF(AND(I5&lt;&gt;"",J5&lt;&gt;""),J5/I5,"")</f>
        <v/>
      </c>
      <c r="L5" s="34">
        <f t="shared" ref="L5:L13" si="3">C5+F5+I5</f>
        <v>0</v>
      </c>
      <c r="M5" s="34">
        <f t="shared" ref="M5:M13" si="4">D5+G5+J5</f>
        <v>0</v>
      </c>
      <c r="N5" s="34" t="e">
        <f t="shared" ref="N5:N14" si="5">IF(AND(L5&lt;&gt;"",M5&lt;&gt;""),M5/L5,"")</f>
        <v>#DIV/0!</v>
      </c>
    </row>
    <row r="6" spans="1:14" ht="22" customHeight="1" x14ac:dyDescent="0.25">
      <c r="A6" s="33" t="s">
        <v>10</v>
      </c>
      <c r="B6" s="34"/>
      <c r="C6" s="34"/>
      <c r="D6" s="34"/>
      <c r="E6" s="34" t="str">
        <f t="shared" si="0"/>
        <v/>
      </c>
      <c r="F6" s="34"/>
      <c r="G6" s="34"/>
      <c r="H6" s="34" t="str">
        <f t="shared" si="1"/>
        <v/>
      </c>
      <c r="I6" s="34"/>
      <c r="J6" s="34"/>
      <c r="K6" s="34" t="str">
        <f t="shared" si="2"/>
        <v/>
      </c>
      <c r="L6" s="34">
        <f t="shared" si="3"/>
        <v>0</v>
      </c>
      <c r="M6" s="34">
        <f t="shared" si="4"/>
        <v>0</v>
      </c>
      <c r="N6" s="34" t="e">
        <f t="shared" si="5"/>
        <v>#DIV/0!</v>
      </c>
    </row>
    <row r="7" spans="1:14" ht="22" customHeight="1" x14ac:dyDescent="0.25">
      <c r="A7" s="33" t="s">
        <v>11</v>
      </c>
      <c r="B7" s="34"/>
      <c r="C7" s="34"/>
      <c r="D7" s="34"/>
      <c r="E7" s="34" t="str">
        <f t="shared" si="0"/>
        <v/>
      </c>
      <c r="F7" s="34"/>
      <c r="G7" s="34"/>
      <c r="H7" s="34" t="str">
        <f t="shared" si="1"/>
        <v/>
      </c>
      <c r="I7" s="34"/>
      <c r="J7" s="34"/>
      <c r="K7" s="34" t="str">
        <f t="shared" si="2"/>
        <v/>
      </c>
      <c r="L7" s="34">
        <f t="shared" si="3"/>
        <v>0</v>
      </c>
      <c r="M7" s="34">
        <f t="shared" si="4"/>
        <v>0</v>
      </c>
      <c r="N7" s="34" t="e">
        <f t="shared" si="5"/>
        <v>#DIV/0!</v>
      </c>
    </row>
    <row r="8" spans="1:14" ht="22" customHeight="1" x14ac:dyDescent="0.25">
      <c r="A8" s="33" t="s">
        <v>12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13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14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15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16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17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</v>
      </c>
      <c r="B14" s="36"/>
      <c r="C14" s="37">
        <f>SUM(C5:C13)</f>
        <v>0</v>
      </c>
      <c r="D14" s="37">
        <f>SUM(D5:D13)</f>
        <v>0</v>
      </c>
      <c r="E14" s="37" t="e">
        <f t="shared" si="0"/>
        <v>#DIV/0!</v>
      </c>
      <c r="F14" s="37">
        <f>SUM(F5:F13)</f>
        <v>0</v>
      </c>
      <c r="G14" s="37">
        <f>SUM(G5:G13)</f>
        <v>0</v>
      </c>
      <c r="H14" s="37" t="e">
        <f t="shared" si="1"/>
        <v>#DIV/0!</v>
      </c>
      <c r="I14" s="37">
        <f>SUM(I5:I13)</f>
        <v>0</v>
      </c>
      <c r="J14" s="37">
        <f>SUM(J5:J13)</f>
        <v>0</v>
      </c>
      <c r="K14" s="37" t="e">
        <f t="shared" si="2"/>
        <v>#DIV/0!</v>
      </c>
      <c r="L14" s="37">
        <f>SUM(L5:L13)</f>
        <v>0</v>
      </c>
      <c r="M14" s="37">
        <f>SUM(M5:M13)</f>
        <v>0</v>
      </c>
      <c r="N14" s="37" t="e">
        <f t="shared" si="5"/>
        <v>#DIV/0!</v>
      </c>
    </row>
    <row r="15" spans="1:14" ht="22" customHeight="1" x14ac:dyDescent="0.25"/>
    <row r="16" spans="1:14" ht="22" customHeight="1" x14ac:dyDescent="0.25">
      <c r="A16" s="38" t="s">
        <v>18</v>
      </c>
      <c r="B16" s="39"/>
      <c r="C16" s="40">
        <f>C14</f>
        <v>0</v>
      </c>
      <c r="D16" s="40">
        <f>D14</f>
        <v>0</v>
      </c>
      <c r="E16" s="40" t="e">
        <f>IF(AND(C16&lt;&gt;"",D16&lt;&gt;""),D16/C16,"")</f>
        <v>#DIV/0!</v>
      </c>
      <c r="F16" s="40">
        <f>F14</f>
        <v>0</v>
      </c>
      <c r="G16" s="40">
        <f>G14</f>
        <v>0</v>
      </c>
      <c r="H16" s="40" t="e">
        <f>IF(AND(F16&lt;&gt;"",G16&lt;&gt;""),G16/F16,"")</f>
        <v>#DIV/0!</v>
      </c>
      <c r="I16" s="40">
        <f>I14</f>
        <v>0</v>
      </c>
      <c r="J16" s="40">
        <f>J14</f>
        <v>0</v>
      </c>
      <c r="K16" s="40" t="e">
        <f>IF(AND(I16&lt;&gt;"",J16&lt;&gt;""),J16/I16,"")</f>
        <v>#DIV/0!</v>
      </c>
      <c r="L16" s="40">
        <f>L14</f>
        <v>0</v>
      </c>
      <c r="M16" s="40">
        <f>M14</f>
        <v>0</v>
      </c>
      <c r="N16" s="40" t="e">
        <f>IF(AND(L16&lt;&gt;"",M16&lt;&gt;""),M16/L16,"")</f>
        <v>#DIV/0!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56" priority="1" operator="greaterThanOrEqual">
      <formula>0.9</formula>
    </cfRule>
    <cfRule type="cellIs" dxfId="655" priority="2" operator="between">
      <formula>0.8</formula>
      <formula>0.9</formula>
    </cfRule>
    <cfRule type="cellIs" dxfId="654" priority="3" operator="lessThan">
      <formula>0.8</formula>
    </cfRule>
  </conditionalFormatting>
  <conditionalFormatting sqref="E16">
    <cfRule type="cellIs" dxfId="653" priority="7" operator="greaterThanOrEqual">
      <formula>0.9</formula>
    </cfRule>
    <cfRule type="cellIs" dxfId="652" priority="8" operator="between">
      <formula>0.8</formula>
      <formula>0.9</formula>
    </cfRule>
    <cfRule type="cellIs" dxfId="651" priority="9" operator="lessThan">
      <formula>0.8</formula>
    </cfRule>
  </conditionalFormatting>
  <conditionalFormatting sqref="H5:H14">
    <cfRule type="cellIs" dxfId="650" priority="10" operator="greaterThanOrEqual">
      <formula>0.9</formula>
    </cfRule>
    <cfRule type="cellIs" dxfId="649" priority="11" operator="between">
      <formula>0.8</formula>
      <formula>0.9</formula>
    </cfRule>
    <cfRule type="cellIs" dxfId="648" priority="12" operator="lessThan">
      <formula>0.8</formula>
    </cfRule>
  </conditionalFormatting>
  <conditionalFormatting sqref="H16">
    <cfRule type="cellIs" dxfId="647" priority="16" operator="greaterThanOrEqual">
      <formula>0.9</formula>
    </cfRule>
    <cfRule type="cellIs" dxfId="646" priority="17" operator="between">
      <formula>0.8</formula>
      <formula>0.9</formula>
    </cfRule>
    <cfRule type="cellIs" dxfId="645" priority="18" operator="lessThan">
      <formula>0.8</formula>
    </cfRule>
  </conditionalFormatting>
  <conditionalFormatting sqref="K5:K14">
    <cfRule type="cellIs" dxfId="644" priority="19" operator="greaterThanOrEqual">
      <formula>0.9</formula>
    </cfRule>
    <cfRule type="cellIs" dxfId="643" priority="20" operator="between">
      <formula>0.8</formula>
      <formula>0.9</formula>
    </cfRule>
    <cfRule type="cellIs" dxfId="642" priority="21" operator="lessThan">
      <formula>0.8</formula>
    </cfRule>
  </conditionalFormatting>
  <conditionalFormatting sqref="K16">
    <cfRule type="cellIs" dxfId="641" priority="25" operator="greaterThanOrEqual">
      <formula>0.9</formula>
    </cfRule>
    <cfRule type="cellIs" dxfId="640" priority="26" operator="between">
      <formula>0.8</formula>
      <formula>0.9</formula>
    </cfRule>
    <cfRule type="cellIs" dxfId="639" priority="27" operator="lessThan">
      <formula>0.8</formula>
    </cfRule>
  </conditionalFormatting>
  <conditionalFormatting sqref="N5:N14">
    <cfRule type="cellIs" dxfId="638" priority="28" operator="greaterThanOrEqual">
      <formula>0.9</formula>
    </cfRule>
    <cfRule type="cellIs" dxfId="637" priority="29" operator="between">
      <formula>0.8</formula>
      <formula>0.9</formula>
    </cfRule>
    <cfRule type="cellIs" dxfId="636" priority="30" operator="lessThan">
      <formula>0.8</formula>
    </cfRule>
  </conditionalFormatting>
  <conditionalFormatting sqref="N16">
    <cfRule type="cellIs" dxfId="635" priority="34" operator="greaterThanOrEqual">
      <formula>0.9</formula>
    </cfRule>
    <cfRule type="cellIs" dxfId="634" priority="35" operator="between">
      <formula>0.8</formula>
      <formula>0.9</formula>
    </cfRule>
    <cfRule type="cellIs" dxfId="63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workbookViewId="0">
      <selection activeCell="E10" sqref="E10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53" t="s">
        <v>84</v>
      </c>
      <c r="B1" s="46"/>
      <c r="C1" s="46"/>
      <c r="D1" s="46"/>
      <c r="E1" s="46"/>
      <c r="F1" s="46"/>
      <c r="G1" s="46"/>
      <c r="H1" s="46"/>
      <c r="I1" s="46"/>
      <c r="J1" s="46"/>
      <c r="K1" s="46"/>
    </row>
    <row r="2" spans="1:11" ht="6" customHeight="1" x14ac:dyDescent="0.25"/>
    <row r="3" spans="1:11" ht="24" customHeight="1" x14ac:dyDescent="0.25">
      <c r="A3" s="1"/>
      <c r="B3" s="1"/>
      <c r="C3" s="54" t="s">
        <v>22</v>
      </c>
      <c r="D3" s="43"/>
      <c r="E3" s="44"/>
      <c r="F3" s="57" t="s">
        <v>76</v>
      </c>
      <c r="G3" s="43"/>
      <c r="H3" s="44"/>
      <c r="I3" s="56" t="s">
        <v>4</v>
      </c>
      <c r="J3" s="43"/>
      <c r="K3" s="44"/>
    </row>
    <row r="4" spans="1:11" ht="24" customHeight="1" x14ac:dyDescent="0.25">
      <c r="A4" s="2" t="s">
        <v>5</v>
      </c>
      <c r="B4" s="2" t="s">
        <v>85</v>
      </c>
      <c r="C4" s="2" t="s">
        <v>6</v>
      </c>
      <c r="D4" s="2" t="s">
        <v>7</v>
      </c>
      <c r="E4" s="2" t="s">
        <v>8</v>
      </c>
      <c r="F4" s="2" t="s">
        <v>6</v>
      </c>
      <c r="G4" s="2" t="s">
        <v>7</v>
      </c>
      <c r="H4" s="2" t="s">
        <v>8</v>
      </c>
      <c r="I4" s="2" t="s">
        <v>6</v>
      </c>
      <c r="J4" s="2" t="s">
        <v>7</v>
      </c>
      <c r="K4" s="2" t="s">
        <v>8</v>
      </c>
    </row>
    <row r="5" spans="1:11" ht="22" customHeight="1" x14ac:dyDescent="0.25">
      <c r="A5" s="55" t="s">
        <v>23</v>
      </c>
      <c r="B5" s="43"/>
      <c r="C5" s="43"/>
      <c r="D5" s="43"/>
      <c r="E5" s="43"/>
      <c r="F5" s="43"/>
      <c r="G5" s="43"/>
      <c r="H5" s="43"/>
      <c r="I5" s="43"/>
      <c r="J5" s="43"/>
      <c r="K5" s="44"/>
    </row>
    <row r="6" spans="1:11" ht="22" customHeight="1" x14ac:dyDescent="0.25">
      <c r="A6" s="3" t="s">
        <v>86</v>
      </c>
      <c r="B6" s="4"/>
      <c r="C6" s="4">
        <v>15</v>
      </c>
      <c r="D6" s="4">
        <v>12</v>
      </c>
      <c r="E6" s="4">
        <f t="shared" ref="E6:E15" si="0">IF(AND(C6&lt;&gt;"",D6&lt;&gt;""),D6/C6,"")</f>
        <v>0.8</v>
      </c>
      <c r="F6" s="4">
        <v>22</v>
      </c>
      <c r="G6" s="4">
        <v>14</v>
      </c>
      <c r="H6" s="4">
        <f t="shared" ref="H6:H15" si="1">IF(AND(F6&lt;&gt;"",G6&lt;&gt;""),G6/F6,"")</f>
        <v>0.63636363636363635</v>
      </c>
      <c r="I6" s="4">
        <f t="shared" ref="I6:I14" si="2">C6+F6</f>
        <v>37</v>
      </c>
      <c r="J6" s="4">
        <f t="shared" ref="J6:J14" si="3">D6+G6</f>
        <v>26</v>
      </c>
      <c r="K6" s="4">
        <f t="shared" ref="K6:K15" si="4">IF(AND(I6&lt;&gt;"",J6&lt;&gt;""),J6/I6,"")</f>
        <v>0.70270270270270274</v>
      </c>
    </row>
    <row r="7" spans="1:11" ht="22" customHeight="1" x14ac:dyDescent="0.25">
      <c r="A7" s="3" t="s">
        <v>87</v>
      </c>
      <c r="B7" s="4"/>
      <c r="C7" s="4"/>
      <c r="D7" s="4"/>
      <c r="E7" s="4" t="str">
        <f t="shared" si="0"/>
        <v/>
      </c>
      <c r="F7" s="4"/>
      <c r="G7" s="4"/>
      <c r="H7" s="4" t="str">
        <f t="shared" si="1"/>
        <v/>
      </c>
      <c r="I7" s="4">
        <f t="shared" si="2"/>
        <v>0</v>
      </c>
      <c r="J7" s="4">
        <f t="shared" si="3"/>
        <v>0</v>
      </c>
      <c r="K7" s="4" t="e">
        <f t="shared" si="4"/>
        <v>#DIV/0!</v>
      </c>
    </row>
    <row r="8" spans="1:11" ht="22" customHeight="1" x14ac:dyDescent="0.25">
      <c r="A8" s="3" t="s">
        <v>88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89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90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91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92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93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94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95</v>
      </c>
      <c r="B15" s="6"/>
      <c r="C15" s="7">
        <f>SUM(C6:C14)</f>
        <v>15</v>
      </c>
      <c r="D15" s="7">
        <f>SUM(D6:D14)</f>
        <v>12</v>
      </c>
      <c r="E15" s="7">
        <f t="shared" si="0"/>
        <v>0.8</v>
      </c>
      <c r="F15" s="7">
        <f>SUM(F6:F14)</f>
        <v>22</v>
      </c>
      <c r="G15" s="7">
        <f>SUM(G6:G14)</f>
        <v>14</v>
      </c>
      <c r="H15" s="7">
        <f t="shared" si="1"/>
        <v>0.63636363636363635</v>
      </c>
      <c r="I15" s="7">
        <f>SUM(I6:I14)</f>
        <v>37</v>
      </c>
      <c r="J15" s="7">
        <f>SUM(J6:J14)</f>
        <v>26</v>
      </c>
      <c r="K15" s="7">
        <f t="shared" si="4"/>
        <v>0.70270270270270274</v>
      </c>
    </row>
    <row r="16" spans="1:11" ht="22" customHeight="1" x14ac:dyDescent="0.25"/>
    <row r="17" spans="1:11" ht="22" customHeight="1" x14ac:dyDescent="0.25">
      <c r="A17" s="55" t="s">
        <v>43</v>
      </c>
      <c r="B17" s="43"/>
      <c r="C17" s="43"/>
      <c r="D17" s="43"/>
      <c r="E17" s="43"/>
      <c r="F17" s="43"/>
      <c r="G17" s="43"/>
      <c r="H17" s="43"/>
      <c r="I17" s="43"/>
      <c r="J17" s="43"/>
      <c r="K17" s="44"/>
    </row>
    <row r="18" spans="1:11" ht="22" customHeight="1" x14ac:dyDescent="0.25">
      <c r="A18" s="3" t="s">
        <v>96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97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98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99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100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101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102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55" t="s">
        <v>50</v>
      </c>
      <c r="B26" s="43"/>
      <c r="C26" s="43"/>
      <c r="D26" s="43"/>
      <c r="E26" s="43"/>
      <c r="F26" s="43"/>
      <c r="G26" s="43"/>
      <c r="H26" s="43"/>
      <c r="I26" s="43"/>
      <c r="J26" s="43"/>
      <c r="K26" s="44"/>
    </row>
    <row r="27" spans="1:11" ht="22" customHeight="1" x14ac:dyDescent="0.25">
      <c r="A27" s="3" t="s">
        <v>103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104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105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106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107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108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109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110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111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112</v>
      </c>
      <c r="B36" s="9"/>
      <c r="C36" s="10">
        <f>C15+C24+C35</f>
        <v>15</v>
      </c>
      <c r="D36" s="10">
        <f>D15+D24+D35</f>
        <v>12</v>
      </c>
      <c r="E36" s="10">
        <f t="shared" si="9"/>
        <v>0.8</v>
      </c>
      <c r="F36" s="10">
        <f>F15+F24+F35</f>
        <v>22</v>
      </c>
      <c r="G36" s="10">
        <f>G15+G24+G35</f>
        <v>14</v>
      </c>
      <c r="H36" s="10">
        <f t="shared" si="10"/>
        <v>0.63636363636363635</v>
      </c>
      <c r="I36" s="10">
        <f>I15+I24+I35</f>
        <v>37</v>
      </c>
      <c r="J36" s="10">
        <f>J15+J24+J35</f>
        <v>26</v>
      </c>
      <c r="K36" s="10">
        <f t="shared" si="12"/>
        <v>0.70270270270270274</v>
      </c>
    </row>
    <row r="39" spans="1:14" ht="30" customHeight="1" x14ac:dyDescent="0.25">
      <c r="A39" s="53" t="s">
        <v>113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</row>
    <row r="40" spans="1:14" ht="6" customHeight="1" x14ac:dyDescent="0.25"/>
    <row r="41" spans="1:14" ht="24" customHeight="1" x14ac:dyDescent="0.25">
      <c r="A41" s="1"/>
      <c r="B41" s="1"/>
      <c r="C41" s="54" t="s">
        <v>22</v>
      </c>
      <c r="D41" s="43"/>
      <c r="E41" s="44"/>
      <c r="F41" s="57" t="s">
        <v>76</v>
      </c>
      <c r="G41" s="43"/>
      <c r="H41" s="44"/>
      <c r="I41" s="58" t="s">
        <v>114</v>
      </c>
      <c r="J41" s="43"/>
      <c r="K41" s="44"/>
      <c r="L41" s="56" t="s">
        <v>4</v>
      </c>
      <c r="M41" s="43"/>
      <c r="N41" s="44"/>
    </row>
    <row r="42" spans="1:14" ht="24" customHeight="1" x14ac:dyDescent="0.25">
      <c r="A42" s="2" t="s">
        <v>5</v>
      </c>
      <c r="B42" s="2" t="s">
        <v>85</v>
      </c>
      <c r="C42" s="2" t="s">
        <v>6</v>
      </c>
      <c r="D42" s="2" t="s">
        <v>7</v>
      </c>
      <c r="E42" s="2" t="s">
        <v>8</v>
      </c>
      <c r="F42" s="2" t="s">
        <v>6</v>
      </c>
      <c r="G42" s="2" t="s">
        <v>7</v>
      </c>
      <c r="H42" s="2" t="s">
        <v>8</v>
      </c>
      <c r="I42" s="2" t="s">
        <v>6</v>
      </c>
      <c r="J42" s="2" t="s">
        <v>7</v>
      </c>
      <c r="K42" s="2" t="s">
        <v>8</v>
      </c>
      <c r="L42" s="2" t="s">
        <v>6</v>
      </c>
      <c r="M42" s="2" t="s">
        <v>7</v>
      </c>
      <c r="N42" s="2" t="s">
        <v>8</v>
      </c>
    </row>
    <row r="43" spans="1:14" ht="22" customHeight="1" x14ac:dyDescent="0.25">
      <c r="A43" s="55" t="s">
        <v>23</v>
      </c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4"/>
    </row>
    <row r="44" spans="1:14" ht="22" customHeight="1" x14ac:dyDescent="0.25">
      <c r="A44" s="3" t="s">
        <v>86</v>
      </c>
      <c r="B44" s="4">
        <f t="shared" ref="B44:B52" si="13">B6</f>
        <v>0</v>
      </c>
      <c r="C44" s="4">
        <v>16</v>
      </c>
      <c r="D44" s="4">
        <v>10</v>
      </c>
      <c r="E44" s="4">
        <f t="shared" ref="E44:E53" si="14">IF(AND(C44&lt;&gt;"",D44&lt;&gt;""),D44/C44,"")</f>
        <v>0.625</v>
      </c>
      <c r="F44" s="4"/>
      <c r="G44" s="4"/>
      <c r="H44" s="4" t="str">
        <f t="shared" ref="H44:H53" si="15">IF(AND(F44&lt;&gt;"",G44&lt;&gt;""),G44/F44,"")</f>
        <v/>
      </c>
      <c r="I44" s="4"/>
      <c r="J44" s="4"/>
      <c r="K44" s="4" t="str">
        <f t="shared" ref="K44:K53" si="16">IF(AND(I44&lt;&gt;"",J44&lt;&gt;""),J44/I44,"")</f>
        <v/>
      </c>
      <c r="L44" s="4">
        <f t="shared" ref="L44:L52" si="17">C44+F44+I44</f>
        <v>16</v>
      </c>
      <c r="M44" s="4">
        <f t="shared" ref="M44:M52" si="18">D44+G44+J44</f>
        <v>10</v>
      </c>
      <c r="N44" s="4">
        <f t="shared" ref="N44:N53" si="19">IF(AND(L44&lt;&gt;"",M44&lt;&gt;""),M44/L44,"")</f>
        <v>0.625</v>
      </c>
    </row>
    <row r="45" spans="1:14" ht="22" customHeight="1" x14ac:dyDescent="0.25">
      <c r="A45" s="3" t="s">
        <v>87</v>
      </c>
      <c r="B45" s="4">
        <f t="shared" si="13"/>
        <v>0</v>
      </c>
      <c r="C45" s="4"/>
      <c r="D45" s="4"/>
      <c r="E45" s="4" t="str">
        <f t="shared" si="14"/>
        <v/>
      </c>
      <c r="F45" s="4"/>
      <c r="G45" s="4"/>
      <c r="H45" s="4" t="str">
        <f t="shared" si="15"/>
        <v/>
      </c>
      <c r="I45" s="4"/>
      <c r="J45" s="4"/>
      <c r="K45" s="4" t="str">
        <f t="shared" si="16"/>
        <v/>
      </c>
      <c r="L45" s="4">
        <f t="shared" si="17"/>
        <v>0</v>
      </c>
      <c r="M45" s="4">
        <f t="shared" si="18"/>
        <v>0</v>
      </c>
      <c r="N45" s="4" t="e">
        <f t="shared" si="19"/>
        <v>#DIV/0!</v>
      </c>
    </row>
    <row r="46" spans="1:14" ht="22" customHeight="1" x14ac:dyDescent="0.25">
      <c r="A46" s="3" t="s">
        <v>88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89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90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91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92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93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 t="shared" si="15"/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 t="shared" si="18"/>
        <v>0</v>
      </c>
      <c r="N51" s="4" t="e">
        <f t="shared" si="19"/>
        <v>#DIV/0!</v>
      </c>
    </row>
    <row r="52" spans="1:14" ht="22" customHeight="1" x14ac:dyDescent="0.25">
      <c r="A52" s="3" t="s">
        <v>94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95</v>
      </c>
      <c r="B53" s="6"/>
      <c r="C53" s="7">
        <f>SUM(C44:C52)</f>
        <v>16</v>
      </c>
      <c r="D53" s="7">
        <f>SUM(D44:D52)</f>
        <v>10</v>
      </c>
      <c r="E53" s="7">
        <f t="shared" si="14"/>
        <v>0.625</v>
      </c>
      <c r="F53" s="7">
        <f>SUM(F44:F52)</f>
        <v>0</v>
      </c>
      <c r="G53" s="7">
        <f>SUM(G44:G52)</f>
        <v>0</v>
      </c>
      <c r="H53" s="7" t="e">
        <f t="shared" si="15"/>
        <v>#DIV/0!</v>
      </c>
      <c r="I53" s="7">
        <f>SUM(I44:I52)</f>
        <v>0</v>
      </c>
      <c r="J53" s="7">
        <f>SUM(J44:J52)</f>
        <v>0</v>
      </c>
      <c r="K53" s="7" t="e">
        <f t="shared" si="16"/>
        <v>#DIV/0!</v>
      </c>
      <c r="L53" s="7">
        <f>SUM(L44:L52)</f>
        <v>16</v>
      </c>
      <c r="M53" s="7">
        <f>SUM(M44:M52)</f>
        <v>10</v>
      </c>
      <c r="N53" s="7">
        <f t="shared" si="19"/>
        <v>0.625</v>
      </c>
    </row>
    <row r="54" spans="1:14" ht="22" customHeight="1" x14ac:dyDescent="0.25"/>
    <row r="55" spans="1:14" ht="22" customHeight="1" x14ac:dyDescent="0.25">
      <c r="A55" s="55" t="s">
        <v>43</v>
      </c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4"/>
    </row>
    <row r="56" spans="1:14" ht="22" customHeight="1" x14ac:dyDescent="0.25">
      <c r="A56" s="3" t="s">
        <v>96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97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98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99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100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101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102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55" t="s">
        <v>50</v>
      </c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4"/>
    </row>
    <row r="65" spans="1:14" ht="22" customHeight="1" x14ac:dyDescent="0.25">
      <c r="A65" s="3" t="s">
        <v>103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104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105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106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107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108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109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110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111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112</v>
      </c>
      <c r="B74" s="9"/>
      <c r="C74" s="10">
        <f>C53+C62+C73</f>
        <v>16</v>
      </c>
      <c r="D74" s="10">
        <f>D53+D62+D73</f>
        <v>10</v>
      </c>
      <c r="E74" s="10">
        <f t="shared" si="27"/>
        <v>0.625</v>
      </c>
      <c r="F74" s="10">
        <f>F53+F62+F73</f>
        <v>0</v>
      </c>
      <c r="G74" s="10">
        <f>G53+G62+G73</f>
        <v>0</v>
      </c>
      <c r="H74" s="10" t="e">
        <f t="shared" si="28"/>
        <v>#DIV/0!</v>
      </c>
      <c r="I74" s="10">
        <f>I53+I62+I73</f>
        <v>0</v>
      </c>
      <c r="J74" s="10">
        <f>J53+J62+J73</f>
        <v>0</v>
      </c>
      <c r="K74" s="10" t="e">
        <f t="shared" si="29"/>
        <v>#DIV/0!</v>
      </c>
      <c r="L74" s="10">
        <f>L53+L62+L73</f>
        <v>16</v>
      </c>
      <c r="M74" s="10">
        <f>M53+M62+M73</f>
        <v>10</v>
      </c>
      <c r="N74" s="10">
        <f t="shared" si="31"/>
        <v>0.625</v>
      </c>
    </row>
    <row r="77" spans="1:14" ht="30" customHeight="1" x14ac:dyDescent="0.25">
      <c r="A77" s="53" t="s">
        <v>115</v>
      </c>
      <c r="B77" s="46"/>
      <c r="C77" s="46"/>
      <c r="D77" s="46"/>
      <c r="E77" s="46"/>
      <c r="F77" s="46"/>
      <c r="G77" s="46"/>
      <c r="H77" s="46"/>
      <c r="I77" s="46"/>
      <c r="J77" s="46"/>
      <c r="K77" s="46"/>
    </row>
    <row r="78" spans="1:14" ht="6" customHeight="1" x14ac:dyDescent="0.25"/>
    <row r="79" spans="1:14" ht="24" customHeight="1" x14ac:dyDescent="0.25">
      <c r="A79" s="1"/>
      <c r="B79" s="1"/>
      <c r="C79" s="54" t="s">
        <v>116</v>
      </c>
      <c r="D79" s="43"/>
      <c r="E79" s="44"/>
      <c r="F79" s="57" t="s">
        <v>113</v>
      </c>
      <c r="G79" s="43"/>
      <c r="H79" s="44"/>
      <c r="I79" s="56" t="s">
        <v>83</v>
      </c>
      <c r="J79" s="43"/>
      <c r="K79" s="44"/>
    </row>
    <row r="80" spans="1:14" ht="24" customHeight="1" x14ac:dyDescent="0.25">
      <c r="A80" s="2" t="s">
        <v>5</v>
      </c>
      <c r="B80" s="2" t="s">
        <v>85</v>
      </c>
      <c r="C80" s="2" t="s">
        <v>6</v>
      </c>
      <c r="D80" s="2" t="s">
        <v>7</v>
      </c>
      <c r="E80" s="2" t="s">
        <v>8</v>
      </c>
      <c r="F80" s="2" t="s">
        <v>6</v>
      </c>
      <c r="G80" s="2" t="s">
        <v>7</v>
      </c>
      <c r="H80" s="2" t="s">
        <v>8</v>
      </c>
      <c r="I80" s="2" t="s">
        <v>6</v>
      </c>
      <c r="J80" s="2" t="s">
        <v>7</v>
      </c>
      <c r="K80" s="2" t="s">
        <v>8</v>
      </c>
    </row>
    <row r="81" spans="1:11" ht="22" customHeight="1" x14ac:dyDescent="0.25">
      <c r="A81" s="55" t="s">
        <v>23</v>
      </c>
      <c r="B81" s="43"/>
      <c r="C81" s="43"/>
      <c r="D81" s="43"/>
      <c r="E81" s="43"/>
      <c r="F81" s="43"/>
      <c r="G81" s="43"/>
      <c r="H81" s="43"/>
      <c r="I81" s="43"/>
      <c r="J81" s="43"/>
      <c r="K81" s="44"/>
    </row>
    <row r="82" spans="1:11" ht="22" customHeight="1" x14ac:dyDescent="0.25">
      <c r="A82" s="3" t="s">
        <v>86</v>
      </c>
      <c r="B82" s="4">
        <f t="shared" ref="B82:B90" si="32">B6</f>
        <v>0</v>
      </c>
      <c r="C82" s="4">
        <f t="shared" ref="C82:C90" si="33">I6</f>
        <v>37</v>
      </c>
      <c r="D82" s="4">
        <f t="shared" ref="D82:D90" si="34">J6</f>
        <v>26</v>
      </c>
      <c r="E82" s="4">
        <f t="shared" ref="E82:E91" si="35">IF(AND(C82&lt;&gt;"",D82&lt;&gt;""),D82/C82,"")</f>
        <v>0.70270270270270274</v>
      </c>
      <c r="F82" s="4">
        <f t="shared" ref="F82:F90" si="36">L44</f>
        <v>16</v>
      </c>
      <c r="G82" s="4">
        <f t="shared" ref="G82:G90" si="37">M44</f>
        <v>10</v>
      </c>
      <c r="H82" s="4">
        <f t="shared" ref="H82:H91" si="38">IF(AND(F82&lt;&gt;"",G82&lt;&gt;""),G82/F82,"")</f>
        <v>0.625</v>
      </c>
      <c r="I82" s="4">
        <f t="shared" ref="I82:I90" si="39">C82+F82</f>
        <v>53</v>
      </c>
      <c r="J82" s="4">
        <f t="shared" ref="J82:J90" si="40">D82+G82</f>
        <v>36</v>
      </c>
      <c r="K82" s="4">
        <f t="shared" ref="K82:K91" si="41">IF(AND(I82&lt;&gt;"",J82&lt;&gt;""),J82/I82,"")</f>
        <v>0.67924528301886788</v>
      </c>
    </row>
    <row r="83" spans="1:11" ht="22" customHeight="1" x14ac:dyDescent="0.25">
      <c r="A83" s="3" t="s">
        <v>87</v>
      </c>
      <c r="B83" s="4">
        <f t="shared" si="32"/>
        <v>0</v>
      </c>
      <c r="C83" s="4">
        <f t="shared" si="33"/>
        <v>0</v>
      </c>
      <c r="D83" s="4">
        <f t="shared" si="34"/>
        <v>0</v>
      </c>
      <c r="E83" s="4" t="e">
        <f t="shared" si="35"/>
        <v>#DIV/0!</v>
      </c>
      <c r="F83" s="4">
        <f t="shared" si="36"/>
        <v>0</v>
      </c>
      <c r="G83" s="4">
        <f t="shared" si="37"/>
        <v>0</v>
      </c>
      <c r="H83" s="4" t="e">
        <f t="shared" si="38"/>
        <v>#DIV/0!</v>
      </c>
      <c r="I83" s="4">
        <f t="shared" si="39"/>
        <v>0</v>
      </c>
      <c r="J83" s="4">
        <f t="shared" si="40"/>
        <v>0</v>
      </c>
      <c r="K83" s="4" t="e">
        <f t="shared" si="41"/>
        <v>#DIV/0!</v>
      </c>
    </row>
    <row r="84" spans="1:11" ht="22" customHeight="1" x14ac:dyDescent="0.25">
      <c r="A84" s="3" t="s">
        <v>88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89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90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91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92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93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94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95</v>
      </c>
      <c r="B91" s="6"/>
      <c r="C91" s="7">
        <f>SUM(C82:C90)</f>
        <v>37</v>
      </c>
      <c r="D91" s="7">
        <f>SUM(D82:D90)</f>
        <v>26</v>
      </c>
      <c r="E91" s="7">
        <f t="shared" si="35"/>
        <v>0.70270270270270274</v>
      </c>
      <c r="F91" s="7">
        <f>SUM(F82:F90)</f>
        <v>16</v>
      </c>
      <c r="G91" s="7">
        <f>SUM(G82:G90)</f>
        <v>10</v>
      </c>
      <c r="H91" s="7">
        <f t="shared" si="38"/>
        <v>0.625</v>
      </c>
      <c r="I91" s="7">
        <f>SUM(I82:I90)</f>
        <v>53</v>
      </c>
      <c r="J91" s="7">
        <f>SUM(J82:J90)</f>
        <v>36</v>
      </c>
      <c r="K91" s="7">
        <f t="shared" si="41"/>
        <v>0.67924528301886788</v>
      </c>
    </row>
    <row r="92" spans="1:11" ht="22" customHeight="1" x14ac:dyDescent="0.25"/>
    <row r="93" spans="1:11" ht="22" customHeight="1" x14ac:dyDescent="0.25">
      <c r="A93" s="55" t="s">
        <v>43</v>
      </c>
      <c r="B93" s="43"/>
      <c r="C93" s="43"/>
      <c r="D93" s="43"/>
      <c r="E93" s="43"/>
      <c r="F93" s="43"/>
      <c r="G93" s="43"/>
      <c r="H93" s="43"/>
      <c r="I93" s="43"/>
      <c r="J93" s="43"/>
      <c r="K93" s="44"/>
    </row>
    <row r="94" spans="1:11" ht="22" customHeight="1" x14ac:dyDescent="0.25">
      <c r="A94" s="3" t="s">
        <v>96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97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98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99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100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101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102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55" t="s">
        <v>50</v>
      </c>
      <c r="B102" s="43"/>
      <c r="C102" s="43"/>
      <c r="D102" s="43"/>
      <c r="E102" s="43"/>
      <c r="F102" s="43"/>
      <c r="G102" s="43"/>
      <c r="H102" s="43"/>
      <c r="I102" s="43"/>
      <c r="J102" s="43"/>
      <c r="K102" s="44"/>
    </row>
    <row r="103" spans="1:11" ht="22" customHeight="1" x14ac:dyDescent="0.25">
      <c r="A103" s="3" t="s">
        <v>103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104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105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106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107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108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109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110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111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112</v>
      </c>
      <c r="B112" s="9"/>
      <c r="C112" s="10">
        <f>C91+C100+C111</f>
        <v>37</v>
      </c>
      <c r="D112" s="10">
        <f>D91+D100+D111</f>
        <v>26</v>
      </c>
      <c r="E112" s="10">
        <f t="shared" si="51"/>
        <v>0.70270270270270274</v>
      </c>
      <c r="F112" s="10">
        <f>F91+F100+F111</f>
        <v>16</v>
      </c>
      <c r="G112" s="10">
        <f>G91+G100+G111</f>
        <v>10</v>
      </c>
      <c r="H112" s="10">
        <f t="shared" si="53"/>
        <v>0.625</v>
      </c>
      <c r="I112" s="10">
        <f>I91+I100+I111</f>
        <v>53</v>
      </c>
      <c r="J112" s="10">
        <f>J91+J100+J111</f>
        <v>36</v>
      </c>
      <c r="K112" s="10">
        <f t="shared" si="55"/>
        <v>0.67924528301886788</v>
      </c>
    </row>
  </sheetData>
  <mergeCells count="22">
    <mergeCell ref="A77:K77"/>
    <mergeCell ref="A93:K93"/>
    <mergeCell ref="F79:H79"/>
    <mergeCell ref="A39:N39"/>
    <mergeCell ref="A102:K102"/>
    <mergeCell ref="L41:N41"/>
    <mergeCell ref="A1:K1"/>
    <mergeCell ref="C3:E3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</mergeCells>
  <phoneticPr fontId="1" type="noConversion"/>
  <conditionalFormatting sqref="E6:E15">
    <cfRule type="cellIs" dxfId="632" priority="27" operator="lessThan">
      <formula>0.8</formula>
    </cfRule>
    <cfRule type="cellIs" dxfId="631" priority="25" operator="greaterThanOrEqual">
      <formula>0.9</formula>
    </cfRule>
    <cfRule type="cellIs" dxfId="630" priority="26" operator="between">
      <formula>0.8</formula>
      <formula>0.9</formula>
    </cfRule>
  </conditionalFormatting>
  <conditionalFormatting sqref="E18:E24">
    <cfRule type="cellIs" dxfId="629" priority="34" operator="greaterThanOrEqual">
      <formula>0.9</formula>
    </cfRule>
    <cfRule type="cellIs" dxfId="628" priority="35" operator="between">
      <formula>0.8</formula>
      <formula>0.9</formula>
    </cfRule>
    <cfRule type="cellIs" dxfId="627" priority="36" operator="lessThan">
      <formula>0.8</formula>
    </cfRule>
  </conditionalFormatting>
  <conditionalFormatting sqref="E27:E36">
    <cfRule type="cellIs" dxfId="626" priority="44" operator="between">
      <formula>0.8</formula>
      <formula>0.9</formula>
    </cfRule>
    <cfRule type="cellIs" dxfId="625" priority="45" operator="lessThan">
      <formula>0.8</formula>
    </cfRule>
    <cfRule type="cellIs" dxfId="624" priority="43" operator="greaterThanOrEqual">
      <formula>0.9</formula>
    </cfRule>
  </conditionalFormatting>
  <conditionalFormatting sqref="E44:E53">
    <cfRule type="cellIs" dxfId="623" priority="90" operator="lessThan">
      <formula>0.8</formula>
    </cfRule>
    <cfRule type="cellIs" dxfId="622" priority="88" operator="greaterThanOrEqual">
      <formula>0.9</formula>
    </cfRule>
    <cfRule type="cellIs" dxfId="621" priority="89" operator="between">
      <formula>0.8</formula>
      <formula>0.9</formula>
    </cfRule>
  </conditionalFormatting>
  <conditionalFormatting sqref="E55:E74">
    <cfRule type="cellIs" dxfId="620" priority="2" operator="between">
      <formula>0.8</formula>
      <formula>0.9</formula>
    </cfRule>
    <cfRule type="cellIs" dxfId="619" priority="3" operator="lessThan">
      <formula>0.8</formula>
    </cfRule>
    <cfRule type="cellIs" dxfId="618" priority="1" operator="greaterThanOrEqual">
      <formula>0.9</formula>
    </cfRule>
  </conditionalFormatting>
  <conditionalFormatting sqref="E82:E91">
    <cfRule type="cellIs" dxfId="617" priority="172" operator="greaterThanOrEqual">
      <formula>0.9</formula>
    </cfRule>
    <cfRule type="cellIs" dxfId="616" priority="173" operator="between">
      <formula>0.8</formula>
      <formula>0.9</formula>
    </cfRule>
    <cfRule type="cellIs" dxfId="615" priority="174" operator="lessThan">
      <formula>0.8</formula>
    </cfRule>
  </conditionalFormatting>
  <conditionalFormatting sqref="E93:E98">
    <cfRule type="cellIs" dxfId="614" priority="182" operator="between">
      <formula>0.8</formula>
      <formula>0.9</formula>
    </cfRule>
    <cfRule type="cellIs" dxfId="613" priority="181" operator="greaterThanOrEqual">
      <formula>0.9</formula>
    </cfRule>
    <cfRule type="cellIs" dxfId="612" priority="183" operator="lessThan">
      <formula>0.8</formula>
    </cfRule>
  </conditionalFormatting>
  <conditionalFormatting sqref="E100:E108">
    <cfRule type="cellIs" dxfId="611" priority="192" operator="lessThan">
      <formula>0.8</formula>
    </cfRule>
    <cfRule type="cellIs" dxfId="610" priority="191" operator="between">
      <formula>0.8</formula>
      <formula>0.9</formula>
    </cfRule>
    <cfRule type="cellIs" dxfId="609" priority="190" operator="greaterThanOrEqual">
      <formula>0.9</formula>
    </cfRule>
  </conditionalFormatting>
  <conditionalFormatting sqref="E111:E112">
    <cfRule type="cellIs" dxfId="608" priority="217" operator="greaterThanOrEqual">
      <formula>0.9</formula>
    </cfRule>
    <cfRule type="cellIs" dxfId="607" priority="218" operator="between">
      <formula>0.8</formula>
      <formula>0.9</formula>
    </cfRule>
    <cfRule type="cellIs" dxfId="606" priority="219" operator="lessThan">
      <formula>0.8</formula>
    </cfRule>
  </conditionalFormatting>
  <conditionalFormatting sqref="H6:H15">
    <cfRule type="cellIs" dxfId="605" priority="28" operator="greaterThanOrEqual">
      <formula>0.9</formula>
    </cfRule>
    <cfRule type="cellIs" dxfId="604" priority="29" operator="between">
      <formula>0.8</formula>
      <formula>0.9</formula>
    </cfRule>
    <cfRule type="cellIs" dxfId="603" priority="30" operator="lessThan">
      <formula>0.8</formula>
    </cfRule>
  </conditionalFormatting>
  <conditionalFormatting sqref="H18:H24">
    <cfRule type="cellIs" dxfId="602" priority="39" operator="lessThan">
      <formula>0.8</formula>
    </cfRule>
    <cfRule type="cellIs" dxfId="601" priority="37" operator="greaterThanOrEqual">
      <formula>0.9</formula>
    </cfRule>
    <cfRule type="cellIs" dxfId="600" priority="38" operator="between">
      <formula>0.8</formula>
      <formula>0.9</formula>
    </cfRule>
  </conditionalFormatting>
  <conditionalFormatting sqref="H27:H36">
    <cfRule type="cellIs" dxfId="599" priority="46" operator="greaterThanOrEqual">
      <formula>0.9</formula>
    </cfRule>
    <cfRule type="cellIs" dxfId="598" priority="47" operator="between">
      <formula>0.8</formula>
      <formula>0.9</formula>
    </cfRule>
    <cfRule type="cellIs" dxfId="597" priority="48" operator="lessThan">
      <formula>0.8</formula>
    </cfRule>
  </conditionalFormatting>
  <conditionalFormatting sqref="H44:H53">
    <cfRule type="cellIs" dxfId="596" priority="91" operator="greaterThanOrEqual">
      <formula>0.9</formula>
    </cfRule>
    <cfRule type="cellIs" dxfId="595" priority="92" operator="between">
      <formula>0.8</formula>
      <formula>0.9</formula>
    </cfRule>
    <cfRule type="cellIs" dxfId="594" priority="93" operator="lessThan">
      <formula>0.8</formula>
    </cfRule>
  </conditionalFormatting>
  <conditionalFormatting sqref="H55:H74">
    <cfRule type="cellIs" dxfId="593" priority="9" operator="lessThan">
      <formula>0.8</formula>
    </cfRule>
    <cfRule type="cellIs" dxfId="592" priority="8" operator="between">
      <formula>0.8</formula>
      <formula>0.9</formula>
    </cfRule>
    <cfRule type="cellIs" dxfId="591" priority="7" operator="greaterThanOrEqual">
      <formula>0.9</formula>
    </cfRule>
  </conditionalFormatting>
  <conditionalFormatting sqref="H82:H91">
    <cfRule type="cellIs" dxfId="590" priority="176" operator="between">
      <formula>0.8</formula>
      <formula>0.9</formula>
    </cfRule>
    <cfRule type="cellIs" dxfId="589" priority="175" operator="greaterThanOrEqual">
      <formula>0.9</formula>
    </cfRule>
    <cfRule type="cellIs" dxfId="588" priority="177" operator="lessThan">
      <formula>0.8</formula>
    </cfRule>
  </conditionalFormatting>
  <conditionalFormatting sqref="H93:H98">
    <cfRule type="cellIs" dxfId="587" priority="184" operator="greaterThanOrEqual">
      <formula>0.9</formula>
    </cfRule>
    <cfRule type="cellIs" dxfId="586" priority="185" operator="between">
      <formula>0.8</formula>
      <formula>0.9</formula>
    </cfRule>
    <cfRule type="cellIs" dxfId="585" priority="186" operator="lessThan">
      <formula>0.8</formula>
    </cfRule>
  </conditionalFormatting>
  <conditionalFormatting sqref="H100:H108">
    <cfRule type="cellIs" dxfId="584" priority="193" operator="greaterThanOrEqual">
      <formula>0.9</formula>
    </cfRule>
    <cfRule type="cellIs" dxfId="583" priority="194" operator="between">
      <formula>0.8</formula>
      <formula>0.9</formula>
    </cfRule>
    <cfRule type="cellIs" dxfId="582" priority="195" operator="lessThan">
      <formula>0.8</formula>
    </cfRule>
  </conditionalFormatting>
  <conditionalFormatting sqref="H111:H112">
    <cfRule type="cellIs" dxfId="581" priority="220" operator="greaterThanOrEqual">
      <formula>0.9</formula>
    </cfRule>
    <cfRule type="cellIs" dxfId="580" priority="221" operator="between">
      <formula>0.8</formula>
      <formula>0.9</formula>
    </cfRule>
    <cfRule type="cellIs" dxfId="579" priority="222" operator="lessThan">
      <formula>0.8</formula>
    </cfRule>
  </conditionalFormatting>
  <conditionalFormatting sqref="K6:K15">
    <cfRule type="cellIs" dxfId="578" priority="33" operator="lessThan">
      <formula>0.8</formula>
    </cfRule>
    <cfRule type="cellIs" dxfId="577" priority="32" operator="between">
      <formula>0.8</formula>
      <formula>0.9</formula>
    </cfRule>
    <cfRule type="cellIs" dxfId="576" priority="31" operator="greaterThanOrEqual">
      <formula>0.9</formula>
    </cfRule>
  </conditionalFormatting>
  <conditionalFormatting sqref="K18:K24">
    <cfRule type="cellIs" dxfId="575" priority="42" operator="lessThan">
      <formula>0.8</formula>
    </cfRule>
    <cfRule type="cellIs" dxfId="574" priority="41" operator="between">
      <formula>0.8</formula>
      <formula>0.9</formula>
    </cfRule>
    <cfRule type="cellIs" dxfId="573" priority="40" operator="greaterThanOrEqual">
      <formula>0.9</formula>
    </cfRule>
  </conditionalFormatting>
  <conditionalFormatting sqref="K27:K36">
    <cfRule type="cellIs" dxfId="572" priority="50" operator="between">
      <formula>0.8</formula>
      <formula>0.9</formula>
    </cfRule>
    <cfRule type="cellIs" dxfId="571" priority="51" operator="lessThan">
      <formula>0.8</formula>
    </cfRule>
    <cfRule type="cellIs" dxfId="570" priority="49" operator="greaterThanOrEqual">
      <formula>0.9</formula>
    </cfRule>
  </conditionalFormatting>
  <conditionalFormatting sqref="K44:K53">
    <cfRule type="cellIs" dxfId="569" priority="96" operator="lessThan">
      <formula>0.8</formula>
    </cfRule>
    <cfRule type="cellIs" dxfId="568" priority="95" operator="between">
      <formula>0.8</formula>
      <formula>0.9</formula>
    </cfRule>
    <cfRule type="cellIs" dxfId="567" priority="94" operator="greaterThanOrEqual">
      <formula>0.9</formula>
    </cfRule>
  </conditionalFormatting>
  <conditionalFormatting sqref="K55:K74">
    <cfRule type="cellIs" dxfId="566" priority="14" operator="between">
      <formula>0.8</formula>
      <formula>0.9</formula>
    </cfRule>
    <cfRule type="cellIs" dxfId="565" priority="13" operator="greaterThanOrEqual">
      <formula>0.9</formula>
    </cfRule>
    <cfRule type="cellIs" dxfId="564" priority="15" operator="lessThan">
      <formula>0.8</formula>
    </cfRule>
  </conditionalFormatting>
  <conditionalFormatting sqref="K82:K91">
    <cfRule type="cellIs" dxfId="563" priority="178" operator="greaterThanOrEqual">
      <formula>0.9</formula>
    </cfRule>
    <cfRule type="cellIs" dxfId="562" priority="179" operator="between">
      <formula>0.8</formula>
      <formula>0.9</formula>
    </cfRule>
    <cfRule type="cellIs" dxfId="561" priority="180" operator="lessThan">
      <formula>0.8</formula>
    </cfRule>
  </conditionalFormatting>
  <conditionalFormatting sqref="K93:K98">
    <cfRule type="cellIs" dxfId="560" priority="187" operator="greaterThanOrEqual">
      <formula>0.9</formula>
    </cfRule>
    <cfRule type="cellIs" dxfId="559" priority="188" operator="between">
      <formula>0.8</formula>
      <formula>0.9</formula>
    </cfRule>
    <cfRule type="cellIs" dxfId="558" priority="189" operator="lessThan">
      <formula>0.8</formula>
    </cfRule>
  </conditionalFormatting>
  <conditionalFormatting sqref="K100:K108">
    <cfRule type="cellIs" dxfId="557" priority="196" operator="greaterThanOrEqual">
      <formula>0.9</formula>
    </cfRule>
    <cfRule type="cellIs" dxfId="556" priority="197" operator="between">
      <formula>0.8</formula>
      <formula>0.9</formula>
    </cfRule>
    <cfRule type="cellIs" dxfId="555" priority="198" operator="lessThan">
      <formula>0.8</formula>
    </cfRule>
  </conditionalFormatting>
  <conditionalFormatting sqref="K111:K112">
    <cfRule type="cellIs" dxfId="554" priority="223" operator="greaterThanOrEqual">
      <formula>0.9</formula>
    </cfRule>
    <cfRule type="cellIs" dxfId="553" priority="224" operator="between">
      <formula>0.8</formula>
      <formula>0.9</formula>
    </cfRule>
    <cfRule type="cellIs" dxfId="552" priority="225" operator="lessThan">
      <formula>0.8</formula>
    </cfRule>
  </conditionalFormatting>
  <conditionalFormatting sqref="N44:N53">
    <cfRule type="cellIs" dxfId="551" priority="99" operator="lessThan">
      <formula>0.8</formula>
    </cfRule>
    <cfRule type="cellIs" dxfId="550" priority="98" operator="between">
      <formula>0.8</formula>
      <formula>0.9</formula>
    </cfRule>
    <cfRule type="cellIs" dxfId="549" priority="97" operator="greaterThanOrEqual">
      <formula>0.9</formula>
    </cfRule>
  </conditionalFormatting>
  <conditionalFormatting sqref="N55:N60">
    <cfRule type="cellIs" dxfId="548" priority="109" operator="greaterThanOrEqual">
      <formula>0.9</formula>
    </cfRule>
    <cfRule type="cellIs" dxfId="547" priority="110" operator="between">
      <formula>0.8</formula>
      <formula>0.9</formula>
    </cfRule>
    <cfRule type="cellIs" dxfId="546" priority="111" operator="lessThan">
      <formula>0.8</formula>
    </cfRule>
  </conditionalFormatting>
  <conditionalFormatting sqref="N62:N70">
    <cfRule type="cellIs" dxfId="545" priority="121" operator="greaterThanOrEqual">
      <formula>0.9</formula>
    </cfRule>
    <cfRule type="cellIs" dxfId="544" priority="122" operator="between">
      <formula>0.8</formula>
      <formula>0.9</formula>
    </cfRule>
    <cfRule type="cellIs" dxfId="543" priority="123" operator="lessThan">
      <formula>0.8</formula>
    </cfRule>
  </conditionalFormatting>
  <conditionalFormatting sqref="N73:N74">
    <cfRule type="cellIs" dxfId="542" priority="157" operator="greaterThanOrEqual">
      <formula>0.9</formula>
    </cfRule>
    <cfRule type="cellIs" dxfId="541" priority="158" operator="between">
      <formula>0.8</formula>
      <formula>0.9</formula>
    </cfRule>
    <cfRule type="cellIs" dxfId="54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workbookViewId="0">
      <selection sqref="A1:V1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59" t="s">
        <v>117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1:22" ht="6" customHeight="1" x14ac:dyDescent="0.25"/>
    <row r="3" spans="1:22" ht="24" customHeight="1" x14ac:dyDescent="0.25">
      <c r="A3" s="61" t="s">
        <v>118</v>
      </c>
      <c r="B3" s="43"/>
      <c r="C3" s="43"/>
      <c r="D3" s="43"/>
      <c r="E3" s="43"/>
      <c r="F3" s="43"/>
      <c r="G3" s="43"/>
      <c r="H3" s="43"/>
      <c r="I3" s="43"/>
      <c r="J3" s="43"/>
      <c r="K3" s="44"/>
      <c r="L3" s="11"/>
      <c r="M3" s="60" t="s">
        <v>119</v>
      </c>
      <c r="N3" s="43"/>
      <c r="O3" s="43"/>
      <c r="P3" s="43"/>
      <c r="Q3" s="43"/>
      <c r="R3" s="43"/>
      <c r="S3" s="43"/>
      <c r="T3" s="43"/>
      <c r="U3" s="43"/>
      <c r="V3" s="44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127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128</v>
      </c>
      <c r="B6" s="15"/>
      <c r="C6" s="15"/>
      <c r="D6" s="15"/>
      <c r="E6" s="15" t="str">
        <f>IF(AND(C6&lt;&gt;"",D6&lt;&gt;""),D6/C6,"")</f>
        <v/>
      </c>
      <c r="F6" s="15"/>
      <c r="G6" s="15"/>
      <c r="H6" s="15" t="str">
        <f>IF(AND(F6&lt;&gt;"",G6&lt;&gt;""),G6/F6,"")</f>
        <v/>
      </c>
      <c r="I6" s="15">
        <f>C6-F6</f>
        <v>0</v>
      </c>
      <c r="J6" s="15">
        <f>D6-G6</f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129</v>
      </c>
      <c r="B7" s="15"/>
      <c r="C7" s="15"/>
      <c r="D7" s="15"/>
      <c r="E7" s="15" t="str">
        <f>IF(AND(C7&lt;&gt;"",D7&lt;&gt;""),D7/C7,"")</f>
        <v/>
      </c>
      <c r="F7" s="15"/>
      <c r="G7" s="15"/>
      <c r="H7" s="15" t="str">
        <f>IF(AND(F7&lt;&gt;"",G7&lt;&gt;""),G7/F7,"")</f>
        <v/>
      </c>
      <c r="I7" s="15">
        <f>C7-F7</f>
        <v>0</v>
      </c>
      <c r="J7" s="15">
        <f>D7-G7</f>
        <v>0</v>
      </c>
      <c r="K7" s="15" t="e">
        <f>IF(AND(I7&lt;&gt;"",J7&lt;&gt;""),J7/I7,"")</f>
        <v>#DIV/0!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130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131</v>
      </c>
      <c r="B9" s="15"/>
      <c r="C9" s="15"/>
      <c r="D9" s="15"/>
      <c r="E9" s="15" t="str">
        <f>IF(AND(C9&lt;&gt;"",D9&lt;&gt;""),D9/C9,"")</f>
        <v/>
      </c>
      <c r="F9" s="15"/>
      <c r="G9" s="15"/>
      <c r="H9" s="15" t="str">
        <f>IF(AND(F9&lt;&gt;"",G9&lt;&gt;""),G9/F9,"")</f>
        <v/>
      </c>
      <c r="I9" s="15">
        <f t="shared" ref="I9:J11" si="0">C9-F9</f>
        <v>0</v>
      </c>
      <c r="J9" s="15">
        <f t="shared" si="0"/>
        <v>0</v>
      </c>
      <c r="K9" s="15" t="e">
        <f>IF(AND(I9&lt;&gt;"",J9&lt;&gt;""),J9/I9,"")</f>
        <v>#DIV/0!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132</v>
      </c>
      <c r="B10" s="15"/>
      <c r="C10" s="15"/>
      <c r="D10" s="15"/>
      <c r="E10" s="15" t="str">
        <f>IF(AND(C10&lt;&gt;"",D10&lt;&gt;""),D10/C10,"")</f>
        <v/>
      </c>
      <c r="F10" s="15"/>
      <c r="G10" s="15"/>
      <c r="H10" s="15" t="str">
        <f>IF(AND(F10&lt;&gt;"",G10&lt;&gt;""),G10/F10,"")</f>
        <v/>
      </c>
      <c r="I10" s="15">
        <f t="shared" si="0"/>
        <v>0</v>
      </c>
      <c r="J10" s="15">
        <f t="shared" si="0"/>
        <v>0</v>
      </c>
      <c r="K10" s="15" t="e">
        <f>IF(AND(I10&lt;&gt;"",J10&lt;&gt;""),J10/I10,"")</f>
        <v>#DIV/0!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133</v>
      </c>
      <c r="B11" s="15"/>
      <c r="C11" s="15"/>
      <c r="D11" s="15"/>
      <c r="E11" s="15" t="str">
        <f>IF(AND(C11&lt;&gt;"",D11&lt;&gt;""),D11/C11,"")</f>
        <v/>
      </c>
      <c r="F11" s="15"/>
      <c r="G11" s="15"/>
      <c r="H11" s="15" t="str">
        <f>IF(AND(F11&lt;&gt;"",G11&lt;&gt;""),G11/F11,"")</f>
        <v/>
      </c>
      <c r="I11" s="15">
        <f t="shared" si="0"/>
        <v>0</v>
      </c>
      <c r="J11" s="15">
        <f t="shared" si="0"/>
        <v>0</v>
      </c>
      <c r="K11" s="15" t="e">
        <f>IF(AND(I11&lt;&gt;"",J11&lt;&gt;""),J11/I11,"")</f>
        <v>#DIV/0!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134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135</v>
      </c>
      <c r="B13" s="15"/>
      <c r="C13" s="15"/>
      <c r="D13" s="15"/>
      <c r="E13" s="15" t="str">
        <f>IF(AND(C13&lt;&gt;"",D13&lt;&gt;""),D13/C13,"")</f>
        <v/>
      </c>
      <c r="F13" s="15"/>
      <c r="G13" s="15"/>
      <c r="H13" s="15" t="str">
        <f>IF(AND(F13&lt;&gt;"",G13&lt;&gt;""),G13/F13,"")</f>
        <v/>
      </c>
      <c r="I13" s="15">
        <f t="shared" ref="I13:J16" si="2">C13-F13</f>
        <v>0</v>
      </c>
      <c r="J13" s="15">
        <f t="shared" si="2"/>
        <v>0</v>
      </c>
      <c r="K13" s="15" t="e">
        <f>IF(AND(I13&lt;&gt;"",J13&lt;&gt;""),J13/I13,"")</f>
        <v>#DIV/0!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136</v>
      </c>
      <c r="B14" s="15"/>
      <c r="C14" s="15"/>
      <c r="D14" s="15"/>
      <c r="E14" s="15" t="str">
        <f>IF(AND(C14&lt;&gt;"",D14&lt;&gt;""),D14/C14,"")</f>
        <v/>
      </c>
      <c r="F14" s="15"/>
      <c r="G14" s="15"/>
      <c r="H14" s="15" t="str">
        <f>IF(AND(F14&lt;&gt;"",G14&lt;&gt;""),G14/F14,"")</f>
        <v/>
      </c>
      <c r="I14" s="15">
        <f t="shared" si="2"/>
        <v>0</v>
      </c>
      <c r="J14" s="15">
        <f t="shared" si="2"/>
        <v>0</v>
      </c>
      <c r="K14" s="15" t="e">
        <f>IF(AND(I14&lt;&gt;"",J14&lt;&gt;""),J14/I14,"")</f>
        <v>#DIV/0!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137</v>
      </c>
      <c r="B15" s="15"/>
      <c r="C15" s="15"/>
      <c r="D15" s="15"/>
      <c r="E15" s="15" t="str">
        <f>IF(AND(C15&lt;&gt;"",D15&lt;&gt;""),D15/C15,"")</f>
        <v/>
      </c>
      <c r="F15" s="15"/>
      <c r="G15" s="15"/>
      <c r="H15" s="15" t="str">
        <f>IF(AND(F15&lt;&gt;"",G15&lt;&gt;""),G15/F15,"")</f>
        <v/>
      </c>
      <c r="I15" s="15">
        <f t="shared" si="2"/>
        <v>0</v>
      </c>
      <c r="J15" s="15">
        <f t="shared" si="2"/>
        <v>0</v>
      </c>
      <c r="K15" s="15" t="e">
        <f>IF(AND(I15&lt;&gt;"",J15&lt;&gt;""),J15/I15,"")</f>
        <v>#DIV/0!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138</v>
      </c>
      <c r="B16" s="15"/>
      <c r="C16" s="15"/>
      <c r="D16" s="15"/>
      <c r="E16" s="15" t="str">
        <f>IF(AND(C16&lt;&gt;"",D16&lt;&gt;""),D16/C16,"")</f>
        <v/>
      </c>
      <c r="F16" s="15"/>
      <c r="G16" s="15"/>
      <c r="H16" s="15" t="str">
        <f>IF(AND(F16&lt;&gt;"",G16&lt;&gt;""),G16/F16,"")</f>
        <v/>
      </c>
      <c r="I16" s="15">
        <f t="shared" si="2"/>
        <v>0</v>
      </c>
      <c r="J16" s="15">
        <f t="shared" si="2"/>
        <v>0</v>
      </c>
      <c r="K16" s="15" t="e">
        <f>IF(AND(I16&lt;&gt;"",J16&lt;&gt;""),J16/I16,"")</f>
        <v>#DIV/0!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139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140</v>
      </c>
      <c r="B18" s="15"/>
      <c r="C18" s="15"/>
      <c r="D18" s="15"/>
      <c r="E18" s="15" t="str">
        <f>IF(AND(C18&lt;&gt;"",D18&lt;&gt;""),D18/C18,"")</f>
        <v/>
      </c>
      <c r="F18" s="15"/>
      <c r="G18" s="15"/>
      <c r="H18" s="15" t="str">
        <f>IF(AND(F18&lt;&gt;"",G18&lt;&gt;""),G18/F18,"")</f>
        <v/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141</v>
      </c>
      <c r="B19" s="15"/>
      <c r="C19" s="15"/>
      <c r="D19" s="15"/>
      <c r="E19" s="15" t="str">
        <f>IF(AND(C19&lt;&gt;"",D19&lt;&gt;""),D19/C19,"")</f>
        <v/>
      </c>
      <c r="F19" s="15"/>
      <c r="G19" s="15"/>
      <c r="H19" s="15" t="str">
        <f>IF(AND(F19&lt;&gt;"",G19&lt;&gt;""),G19/F19,"")</f>
        <v/>
      </c>
      <c r="I19" s="15">
        <f>C19-F19</f>
        <v>0</v>
      </c>
      <c r="J19" s="15">
        <f>D19-G19</f>
        <v>0</v>
      </c>
      <c r="K19" s="15" t="e">
        <f>IF(AND(I19&lt;&gt;"",J19&lt;&gt;""),J19/I19,"")</f>
        <v>#DIV/0!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142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143</v>
      </c>
      <c r="B21" s="15"/>
      <c r="C21" s="15"/>
      <c r="D21" s="15"/>
      <c r="E21" s="15" t="str">
        <f>IF(AND(C21&lt;&gt;"",D21&lt;&gt;""),D21/C21,"")</f>
        <v/>
      </c>
      <c r="F21" s="15"/>
      <c r="G21" s="15"/>
      <c r="H21" s="15" t="str">
        <f>IF(AND(F21&lt;&gt;"",G21&lt;&gt;""),G21/F21,"")</f>
        <v/>
      </c>
      <c r="I21" s="15">
        <f t="shared" ref="I21:J25" si="4">C21-F21</f>
        <v>0</v>
      </c>
      <c r="J21" s="15">
        <f t="shared" si="4"/>
        <v>0</v>
      </c>
      <c r="K21" s="15" t="e">
        <f>IF(AND(I21&lt;&gt;"",J21&lt;&gt;""),J21/I21,"")</f>
        <v>#DIV/0!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144</v>
      </c>
      <c r="B22" s="15"/>
      <c r="C22" s="15"/>
      <c r="D22" s="15"/>
      <c r="E22" s="15" t="str">
        <f>IF(AND(C22&lt;&gt;"",D22&lt;&gt;""),D22/C22,"")</f>
        <v/>
      </c>
      <c r="F22" s="15"/>
      <c r="G22" s="15"/>
      <c r="H22" s="15" t="str">
        <f>IF(AND(F22&lt;&gt;"",G22&lt;&gt;""),G22/F22,"")</f>
        <v/>
      </c>
      <c r="I22" s="15">
        <f t="shared" si="4"/>
        <v>0</v>
      </c>
      <c r="J22" s="15">
        <f t="shared" si="4"/>
        <v>0</v>
      </c>
      <c r="K22" s="15" t="e">
        <f>IF(AND(I22&lt;&gt;"",J22&lt;&gt;""),J22/I22,"")</f>
        <v>#DIV/0!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145</v>
      </c>
      <c r="B23" s="15"/>
      <c r="C23" s="15"/>
      <c r="D23" s="15"/>
      <c r="E23" s="15" t="str">
        <f>IF(AND(C23&lt;&gt;"",D23&lt;&gt;""),D23/C23,"")</f>
        <v/>
      </c>
      <c r="F23" s="15"/>
      <c r="G23" s="15"/>
      <c r="H23" s="15" t="str">
        <f>IF(AND(F23&lt;&gt;"",G23&lt;&gt;""),G23/F23,"")</f>
        <v/>
      </c>
      <c r="I23" s="15">
        <f t="shared" si="4"/>
        <v>0</v>
      </c>
      <c r="J23" s="15">
        <f t="shared" si="4"/>
        <v>0</v>
      </c>
      <c r="K23" s="15" t="e">
        <f>IF(AND(I23&lt;&gt;"",J23&lt;&gt;""),J23/I23,"")</f>
        <v>#DIV/0!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146</v>
      </c>
      <c r="B24" s="15"/>
      <c r="C24" s="15"/>
      <c r="D24" s="15"/>
      <c r="E24" s="15" t="str">
        <f>IF(AND(C24&lt;&gt;"",D24&lt;&gt;""),D24/C24,"")</f>
        <v/>
      </c>
      <c r="F24" s="15"/>
      <c r="G24" s="15"/>
      <c r="H24" s="15" t="str">
        <f>IF(AND(F24&lt;&gt;"",G24&lt;&gt;""),G24/F24,"")</f>
        <v/>
      </c>
      <c r="I24" s="15">
        <f t="shared" si="4"/>
        <v>0</v>
      </c>
      <c r="J24" s="15">
        <f t="shared" si="4"/>
        <v>0</v>
      </c>
      <c r="K24" s="15" t="e">
        <f>IF(AND(I24&lt;&gt;"",J24&lt;&gt;""),J24/I24,"")</f>
        <v>#DIV/0!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147</v>
      </c>
      <c r="B25" s="15"/>
      <c r="C25" s="15"/>
      <c r="D25" s="15"/>
      <c r="E25" s="15" t="str">
        <f>IF(AND(C25&lt;&gt;"",D25&lt;&gt;""),D25/C25,"")</f>
        <v/>
      </c>
      <c r="F25" s="15"/>
      <c r="G25" s="15"/>
      <c r="H25" s="15" t="str">
        <f>IF(AND(F25&lt;&gt;"",G25&lt;&gt;""),G25/F25,"")</f>
        <v/>
      </c>
      <c r="I25" s="15">
        <f t="shared" si="4"/>
        <v>0</v>
      </c>
      <c r="J25" s="15">
        <f t="shared" si="4"/>
        <v>0</v>
      </c>
      <c r="K25" s="15" t="e">
        <f>IF(AND(I25&lt;&gt;"",J25&lt;&gt;""),J25/I25,"")</f>
        <v>#DIV/0!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148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149</v>
      </c>
      <c r="B27" s="15"/>
      <c r="C27" s="15"/>
      <c r="D27" s="15"/>
      <c r="E27" s="15" t="str">
        <f>IF(AND(C27&lt;&gt;"",D27&lt;&gt;""),D27/C27,"")</f>
        <v/>
      </c>
      <c r="F27" s="15"/>
      <c r="G27" s="15"/>
      <c r="H27" s="15" t="str">
        <f>IF(AND(F27&lt;&gt;"",G27&lt;&gt;""),G27/F27,"")</f>
        <v/>
      </c>
      <c r="I27" s="15">
        <f t="shared" ref="I27:J30" si="6">C27-F27</f>
        <v>0</v>
      </c>
      <c r="J27" s="15">
        <f t="shared" si="6"/>
        <v>0</v>
      </c>
      <c r="K27" s="15" t="e">
        <f>IF(AND(I27&lt;&gt;"",J27&lt;&gt;""),J27/I27,"")</f>
        <v>#DIV/0!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150</v>
      </c>
      <c r="B28" s="15"/>
      <c r="C28" s="15"/>
      <c r="D28" s="15"/>
      <c r="E28" s="15" t="str">
        <f>IF(AND(C28&lt;&gt;"",D28&lt;&gt;""),D28/C28,"")</f>
        <v/>
      </c>
      <c r="F28" s="15"/>
      <c r="G28" s="15"/>
      <c r="H28" s="15" t="str">
        <f>IF(AND(F28&lt;&gt;"",G28&lt;&gt;""),G28/F28,"")</f>
        <v/>
      </c>
      <c r="I28" s="15">
        <f t="shared" si="6"/>
        <v>0</v>
      </c>
      <c r="J28" s="15">
        <f t="shared" si="6"/>
        <v>0</v>
      </c>
      <c r="K28" s="15" t="e">
        <f>IF(AND(I28&lt;&gt;"",J28&lt;&gt;""),J28/I28,"")</f>
        <v>#DIV/0!</v>
      </c>
      <c r="L28" s="11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151</v>
      </c>
      <c r="B29" s="15"/>
      <c r="C29" s="15"/>
      <c r="D29" s="15"/>
      <c r="E29" s="15" t="str">
        <f>IF(AND(C29&lt;&gt;"",D29&lt;&gt;""),D29/C29,"")</f>
        <v/>
      </c>
      <c r="F29" s="15"/>
      <c r="G29" s="15"/>
      <c r="H29" s="15" t="str">
        <f>IF(AND(F29&lt;&gt;"",G29&lt;&gt;""),G29/F29,"")</f>
        <v/>
      </c>
      <c r="I29" s="15">
        <f t="shared" si="6"/>
        <v>0</v>
      </c>
      <c r="J29" s="15">
        <f t="shared" si="6"/>
        <v>0</v>
      </c>
      <c r="K29" s="15" t="e">
        <f>IF(AND(I29&lt;&gt;"",J29&lt;&gt;""),J29/I29,"")</f>
        <v>#DIV/0!</v>
      </c>
      <c r="L29" s="11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152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si="6"/>
        <v>0</v>
      </c>
      <c r="J30" s="15">
        <f t="shared" si="6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153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154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155</v>
      </c>
      <c r="B33" s="15"/>
      <c r="C33" s="15"/>
      <c r="D33" s="15"/>
      <c r="E33" s="15" t="str">
        <f>IF(AND(C33&lt;&gt;"",D33&lt;&gt;""),D33/C33,"")</f>
        <v/>
      </c>
      <c r="F33" s="15"/>
      <c r="G33" s="15"/>
      <c r="H33" s="15" t="str">
        <f>IF(AND(F33&lt;&gt;"",G33&lt;&gt;""),G33/F33,"")</f>
        <v/>
      </c>
      <c r="I33" s="15">
        <f t="shared" si="8"/>
        <v>0</v>
      </c>
      <c r="J33" s="15">
        <f t="shared" si="8"/>
        <v>0</v>
      </c>
      <c r="K33" s="15" t="e">
        <f>IF(AND(I33&lt;&gt;"",J33&lt;&gt;""),J33/I33,"")</f>
        <v>#DIV/0!</v>
      </c>
      <c r="L33" s="11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14" t="s">
        <v>156</v>
      </c>
      <c r="B34" s="15"/>
      <c r="C34" s="15"/>
      <c r="D34" s="15"/>
      <c r="E34" s="15" t="str">
        <f>IF(AND(C34&lt;&gt;"",D34&lt;&gt;""),D34/C34,"")</f>
        <v/>
      </c>
      <c r="F34" s="15"/>
      <c r="G34" s="15"/>
      <c r="H34" s="15" t="str">
        <f>IF(AND(F34&lt;&gt;"",G34&lt;&gt;""),G34/F34,"")</f>
        <v/>
      </c>
      <c r="I34" s="15">
        <f t="shared" si="8"/>
        <v>0</v>
      </c>
      <c r="J34" s="15">
        <f t="shared" si="8"/>
        <v>0</v>
      </c>
      <c r="K34" s="15" t="e">
        <f>IF(AND(I34&lt;&gt;"",J34&lt;&gt;""),J34/I34,"")</f>
        <v>#DIV/0!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157</v>
      </c>
      <c r="B35" s="15"/>
      <c r="C35" s="15"/>
      <c r="D35" s="15"/>
      <c r="E35" s="15" t="str">
        <f>IF(AND(C35&lt;&gt;"",D35&lt;&gt;""),D35/C35,"")</f>
        <v/>
      </c>
      <c r="F35" s="15"/>
      <c r="G35" s="15"/>
      <c r="H35" s="15" t="str">
        <f>IF(AND(F35&lt;&gt;"",G35&lt;&gt;""),G35/F35,"")</f>
        <v/>
      </c>
      <c r="I35" s="15">
        <f t="shared" si="8"/>
        <v>0</v>
      </c>
      <c r="J35" s="15">
        <f t="shared" si="8"/>
        <v>0</v>
      </c>
      <c r="K35" s="15" t="e">
        <f>IF(AND(I35&lt;&gt;"",J35&lt;&gt;""),J35/I35,"")</f>
        <v>#DIV/0!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158</v>
      </c>
      <c r="B36" s="15"/>
      <c r="C36" s="15"/>
      <c r="D36" s="15"/>
      <c r="E36" s="15" t="str">
        <f>IF(AND(C36&lt;&gt;"",D36&lt;&gt;""),D36/C36,"")</f>
        <v/>
      </c>
      <c r="F36" s="15"/>
      <c r="G36" s="15"/>
      <c r="H36" s="15" t="str">
        <f>IF(AND(F36&lt;&gt;"",G36&lt;&gt;""),G36/F36,"")</f>
        <v/>
      </c>
      <c r="I36" s="15">
        <f t="shared" si="8"/>
        <v>0</v>
      </c>
      <c r="J36" s="15">
        <f t="shared" si="8"/>
        <v>0</v>
      </c>
      <c r="K36" s="15" t="e">
        <f>IF(AND(I36&lt;&gt;"",J36&lt;&gt;""),J36/I36,"")</f>
        <v>#DIV/0!</v>
      </c>
      <c r="L36" s="11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159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160</v>
      </c>
      <c r="B38" s="15"/>
      <c r="C38" s="15"/>
      <c r="D38" s="15"/>
      <c r="E38" s="15" t="str">
        <f t="shared" ref="E38:E45" si="10">IF(AND(C38&lt;&gt;"",D38&lt;&gt;""),D38/C38,"")</f>
        <v/>
      </c>
      <c r="F38" s="15"/>
      <c r="G38" s="15"/>
      <c r="H38" s="15" t="str">
        <f t="shared" ref="H38:H45" si="11">IF(AND(F38&lt;&gt;"",G38&lt;&gt;""),G38/F38,"")</f>
        <v/>
      </c>
      <c r="I38" s="15">
        <f t="shared" ref="I38:J44" si="12">C38-F38</f>
        <v>0</v>
      </c>
      <c r="J38" s="15">
        <f t="shared" si="12"/>
        <v>0</v>
      </c>
      <c r="K38" s="15" t="e">
        <f t="shared" ref="K38:K45" si="13">IF(AND(I38&lt;&gt;"",J38&lt;&gt;""),J38/I38,"")</f>
        <v>#DIV/0!</v>
      </c>
      <c r="L38" s="11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161</v>
      </c>
      <c r="B39" s="15"/>
      <c r="C39" s="15"/>
      <c r="D39" s="15"/>
      <c r="E39" s="15" t="str">
        <f t="shared" si="10"/>
        <v/>
      </c>
      <c r="F39" s="15"/>
      <c r="G39" s="15"/>
      <c r="H39" s="15" t="str">
        <f t="shared" si="11"/>
        <v/>
      </c>
      <c r="I39" s="15">
        <f t="shared" si="12"/>
        <v>0</v>
      </c>
      <c r="J39" s="15">
        <f t="shared" si="12"/>
        <v>0</v>
      </c>
      <c r="K39" s="15" t="e">
        <f t="shared" si="13"/>
        <v>#DIV/0!</v>
      </c>
      <c r="L39" s="11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162</v>
      </c>
      <c r="B40" s="15"/>
      <c r="C40" s="15"/>
      <c r="D40" s="15"/>
      <c r="E40" s="15" t="str">
        <f t="shared" si="10"/>
        <v/>
      </c>
      <c r="F40" s="15"/>
      <c r="G40" s="15"/>
      <c r="H40" s="15" t="str">
        <f t="shared" si="11"/>
        <v/>
      </c>
      <c r="I40" s="15">
        <f t="shared" si="12"/>
        <v>0</v>
      </c>
      <c r="J40" s="15">
        <f t="shared" si="12"/>
        <v>0</v>
      </c>
      <c r="K40" s="15" t="e">
        <f t="shared" si="13"/>
        <v>#DIV/0!</v>
      </c>
      <c r="L40" s="11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163</v>
      </c>
      <c r="B41" s="15"/>
      <c r="C41" s="15"/>
      <c r="D41" s="15"/>
      <c r="E41" s="15" t="str">
        <f t="shared" si="10"/>
        <v/>
      </c>
      <c r="F41" s="15"/>
      <c r="G41" s="15"/>
      <c r="H41" s="15" t="str">
        <f t="shared" si="11"/>
        <v/>
      </c>
      <c r="I41" s="15">
        <f t="shared" si="12"/>
        <v>0</v>
      </c>
      <c r="J41" s="15">
        <f t="shared" si="12"/>
        <v>0</v>
      </c>
      <c r="K41" s="15" t="e">
        <f t="shared" si="13"/>
        <v>#DIV/0!</v>
      </c>
      <c r="L41" s="11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164</v>
      </c>
      <c r="B42" s="15"/>
      <c r="C42" s="15"/>
      <c r="D42" s="15"/>
      <c r="E42" s="15" t="str">
        <f t="shared" si="10"/>
        <v/>
      </c>
      <c r="F42" s="15"/>
      <c r="G42" s="15"/>
      <c r="H42" s="15" t="str">
        <f t="shared" si="11"/>
        <v/>
      </c>
      <c r="I42" s="15">
        <f t="shared" si="12"/>
        <v>0</v>
      </c>
      <c r="J42" s="15">
        <f t="shared" si="12"/>
        <v>0</v>
      </c>
      <c r="K42" s="15" t="e">
        <f t="shared" si="13"/>
        <v>#DIV/0!</v>
      </c>
      <c r="L42" s="11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165</v>
      </c>
      <c r="B43" s="15"/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11"/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166</v>
      </c>
      <c r="B44" s="15"/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11"/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</v>
      </c>
      <c r="B45" s="17"/>
      <c r="C45" s="18">
        <f>SUM(C5:C44)</f>
        <v>0</v>
      </c>
      <c r="D45" s="18">
        <f>SUM(D5:D44)</f>
        <v>0</v>
      </c>
      <c r="E45" s="18" t="e">
        <f t="shared" si="10"/>
        <v>#DIV/0!</v>
      </c>
      <c r="F45" s="18">
        <f>SUM(F5:F44)</f>
        <v>0</v>
      </c>
      <c r="G45" s="18">
        <f>SUM(G5:G44)</f>
        <v>0</v>
      </c>
      <c r="H45" s="18" t="e">
        <f t="shared" si="11"/>
        <v>#DIV/0!</v>
      </c>
      <c r="I45" s="18">
        <f>SUM(I5:I44)</f>
        <v>0</v>
      </c>
      <c r="J45" s="18">
        <f>SUM(J5:J44)</f>
        <v>0</v>
      </c>
      <c r="K45" s="18" t="e">
        <f t="shared" si="13"/>
        <v>#DIV/0!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18</v>
      </c>
      <c r="B47" s="20"/>
      <c r="C47" s="21">
        <f>C45+N45</f>
        <v>0</v>
      </c>
      <c r="D47" s="21">
        <f>D45+O45</f>
        <v>0</v>
      </c>
      <c r="E47" s="21" t="e">
        <f>IF(AND(C47&lt;&gt;"",D47&lt;&gt;""),D47/C47,"")</f>
        <v>#DIV/0!</v>
      </c>
      <c r="F47" s="21">
        <f>F45+Q45</f>
        <v>0</v>
      </c>
      <c r="G47" s="21">
        <f>G45+R45</f>
        <v>0</v>
      </c>
      <c r="H47" s="21" t="e">
        <f>IF(AND(F47&lt;&gt;"",G47&lt;&gt;""),G47/F47,"")</f>
        <v>#DIV/0!</v>
      </c>
      <c r="I47" s="21">
        <f>I45+T45</f>
        <v>0</v>
      </c>
      <c r="J47" s="21">
        <f>J45+U45</f>
        <v>0</v>
      </c>
      <c r="K47" s="21" t="e">
        <f>IF(AND(I47&lt;&gt;"",J47&lt;&gt;""),J47/I47,"")</f>
        <v>#DIV/0!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39" priority="1" operator="greaterThanOrEqual">
      <formula>0.9</formula>
    </cfRule>
    <cfRule type="cellIs" dxfId="538" priority="2" operator="between">
      <formula>0.8</formula>
      <formula>0.9</formula>
    </cfRule>
    <cfRule type="cellIs" dxfId="537" priority="3" operator="lessThan">
      <formula>0.8</formula>
    </cfRule>
  </conditionalFormatting>
  <conditionalFormatting sqref="E9:E11">
    <cfRule type="cellIs" dxfId="536" priority="21" operator="lessThan">
      <formula>0.8</formula>
    </cfRule>
    <cfRule type="cellIs" dxfId="535" priority="19" operator="greaterThanOrEqual">
      <formula>0.9</formula>
    </cfRule>
    <cfRule type="cellIs" dxfId="534" priority="20" operator="between">
      <formula>0.8</formula>
      <formula>0.9</formula>
    </cfRule>
  </conditionalFormatting>
  <conditionalFormatting sqref="E13:E16">
    <cfRule type="cellIs" dxfId="533" priority="37" operator="greaterThanOrEqual">
      <formula>0.9</formula>
    </cfRule>
    <cfRule type="cellIs" dxfId="532" priority="38" operator="between">
      <formula>0.8</formula>
      <formula>0.9</formula>
    </cfRule>
    <cfRule type="cellIs" dxfId="531" priority="39" operator="lessThan">
      <formula>0.8</formula>
    </cfRule>
  </conditionalFormatting>
  <conditionalFormatting sqref="E18:E19">
    <cfRule type="cellIs" dxfId="530" priority="56" operator="between">
      <formula>0.8</formula>
      <formula>0.9</formula>
    </cfRule>
    <cfRule type="cellIs" dxfId="529" priority="57" operator="lessThan">
      <formula>0.8</formula>
    </cfRule>
    <cfRule type="cellIs" dxfId="528" priority="55" operator="greaterThanOrEqual">
      <formula>0.9</formula>
    </cfRule>
  </conditionalFormatting>
  <conditionalFormatting sqref="E21:E25">
    <cfRule type="cellIs" dxfId="527" priority="75" operator="lessThan">
      <formula>0.8</formula>
    </cfRule>
    <cfRule type="cellIs" dxfId="526" priority="74" operator="between">
      <formula>0.8</formula>
      <formula>0.9</formula>
    </cfRule>
    <cfRule type="cellIs" dxfId="525" priority="73" operator="greaterThanOrEqual">
      <formula>0.9</formula>
    </cfRule>
  </conditionalFormatting>
  <conditionalFormatting sqref="E27:E30">
    <cfRule type="cellIs" dxfId="524" priority="92" operator="between">
      <formula>0.8</formula>
      <formula>0.9</formula>
    </cfRule>
    <cfRule type="cellIs" dxfId="523" priority="93" operator="lessThan">
      <formula>0.8</formula>
    </cfRule>
    <cfRule type="cellIs" dxfId="522" priority="91" operator="greaterThanOrEqual">
      <formula>0.9</formula>
    </cfRule>
  </conditionalFormatting>
  <conditionalFormatting sqref="E32:E36">
    <cfRule type="cellIs" dxfId="521" priority="111" operator="lessThan">
      <formula>0.8</formula>
    </cfRule>
    <cfRule type="cellIs" dxfId="520" priority="110" operator="between">
      <formula>0.8</formula>
      <formula>0.9</formula>
    </cfRule>
    <cfRule type="cellIs" dxfId="519" priority="109" operator="greaterThanOrEqual">
      <formula>0.9</formula>
    </cfRule>
  </conditionalFormatting>
  <conditionalFormatting sqref="E38:E45">
    <cfRule type="cellIs" dxfId="518" priority="127" operator="greaterThanOrEqual">
      <formula>0.9</formula>
    </cfRule>
    <cfRule type="cellIs" dxfId="517" priority="129" operator="lessThan">
      <formula>0.8</formula>
    </cfRule>
    <cfRule type="cellIs" dxfId="516" priority="128" operator="between">
      <formula>0.8</formula>
      <formula>0.9</formula>
    </cfRule>
  </conditionalFormatting>
  <conditionalFormatting sqref="E47">
    <cfRule type="cellIs" dxfId="515" priority="163" operator="greaterThanOrEqual">
      <formula>0.9</formula>
    </cfRule>
    <cfRule type="cellIs" dxfId="514" priority="165" operator="lessThan">
      <formula>0.8</formula>
    </cfRule>
    <cfRule type="cellIs" dxfId="513" priority="164" operator="between">
      <formula>0.8</formula>
      <formula>0.9</formula>
    </cfRule>
  </conditionalFormatting>
  <conditionalFormatting sqref="H6:H7">
    <cfRule type="cellIs" dxfId="512" priority="5" operator="between">
      <formula>0.8</formula>
      <formula>0.9</formula>
    </cfRule>
    <cfRule type="cellIs" dxfId="511" priority="4" operator="greaterThanOrEqual">
      <formula>0.9</formula>
    </cfRule>
    <cfRule type="cellIs" dxfId="510" priority="6" operator="lessThan">
      <formula>0.8</formula>
    </cfRule>
  </conditionalFormatting>
  <conditionalFormatting sqref="H9:H11">
    <cfRule type="cellIs" dxfId="509" priority="24" operator="lessThan">
      <formula>0.8</formula>
    </cfRule>
    <cfRule type="cellIs" dxfId="508" priority="22" operator="greaterThanOrEqual">
      <formula>0.9</formula>
    </cfRule>
    <cfRule type="cellIs" dxfId="507" priority="23" operator="between">
      <formula>0.8</formula>
      <formula>0.9</formula>
    </cfRule>
  </conditionalFormatting>
  <conditionalFormatting sqref="H13:H16">
    <cfRule type="cellIs" dxfId="506" priority="41" operator="between">
      <formula>0.8</formula>
      <formula>0.9</formula>
    </cfRule>
    <cfRule type="cellIs" dxfId="505" priority="42" operator="lessThan">
      <formula>0.8</formula>
    </cfRule>
    <cfRule type="cellIs" dxfId="504" priority="40" operator="greaterThanOrEqual">
      <formula>0.9</formula>
    </cfRule>
  </conditionalFormatting>
  <conditionalFormatting sqref="H18:H19">
    <cfRule type="cellIs" dxfId="503" priority="60" operator="lessThan">
      <formula>0.8</formula>
    </cfRule>
    <cfRule type="cellIs" dxfId="502" priority="59" operator="between">
      <formula>0.8</formula>
      <formula>0.9</formula>
    </cfRule>
    <cfRule type="cellIs" dxfId="501" priority="58" operator="greaterThanOrEqual">
      <formula>0.9</formula>
    </cfRule>
  </conditionalFormatting>
  <conditionalFormatting sqref="H21:H25">
    <cfRule type="cellIs" dxfId="500" priority="76" operator="greaterThanOrEqual">
      <formula>0.9</formula>
    </cfRule>
    <cfRule type="cellIs" dxfId="499" priority="77" operator="between">
      <formula>0.8</formula>
      <formula>0.9</formula>
    </cfRule>
    <cfRule type="cellIs" dxfId="498" priority="78" operator="lessThan">
      <formula>0.8</formula>
    </cfRule>
  </conditionalFormatting>
  <conditionalFormatting sqref="H27:H30">
    <cfRule type="cellIs" dxfId="497" priority="95" operator="between">
      <formula>0.8</formula>
      <formula>0.9</formula>
    </cfRule>
    <cfRule type="cellIs" dxfId="496" priority="96" operator="lessThan">
      <formula>0.8</formula>
    </cfRule>
    <cfRule type="cellIs" dxfId="495" priority="94" operator="greaterThanOrEqual">
      <formula>0.9</formula>
    </cfRule>
  </conditionalFormatting>
  <conditionalFormatting sqref="H32:H36">
    <cfRule type="cellIs" dxfId="494" priority="113" operator="between">
      <formula>0.8</formula>
      <formula>0.9</formula>
    </cfRule>
    <cfRule type="cellIs" dxfId="493" priority="112" operator="greaterThanOrEqual">
      <formula>0.9</formula>
    </cfRule>
    <cfRule type="cellIs" dxfId="492" priority="114" operator="lessThan">
      <formula>0.8</formula>
    </cfRule>
  </conditionalFormatting>
  <conditionalFormatting sqref="H38:H45">
    <cfRule type="cellIs" dxfId="491" priority="132" operator="lessThan">
      <formula>0.8</formula>
    </cfRule>
    <cfRule type="cellIs" dxfId="490" priority="131" operator="between">
      <formula>0.8</formula>
      <formula>0.9</formula>
    </cfRule>
    <cfRule type="cellIs" dxfId="489" priority="130" operator="greaterThanOrEqual">
      <formula>0.9</formula>
    </cfRule>
  </conditionalFormatting>
  <conditionalFormatting sqref="H47">
    <cfRule type="cellIs" dxfId="488" priority="166" operator="greaterThanOrEqual">
      <formula>0.9</formula>
    </cfRule>
    <cfRule type="cellIs" dxfId="487" priority="167" operator="between">
      <formula>0.8</formula>
      <formula>0.9</formula>
    </cfRule>
    <cfRule type="cellIs" dxfId="486" priority="168" operator="lessThan">
      <formula>0.8</formula>
    </cfRule>
  </conditionalFormatting>
  <conditionalFormatting sqref="K6:K7">
    <cfRule type="cellIs" dxfId="485" priority="9" operator="lessThan">
      <formula>0.8</formula>
    </cfRule>
    <cfRule type="cellIs" dxfId="484" priority="8" operator="between">
      <formula>0.8</formula>
      <formula>0.9</formula>
    </cfRule>
    <cfRule type="cellIs" dxfId="483" priority="7" operator="greaterThanOrEqual">
      <formula>0.9</formula>
    </cfRule>
  </conditionalFormatting>
  <conditionalFormatting sqref="K9:K11">
    <cfRule type="cellIs" dxfId="482" priority="25" operator="greaterThanOrEqual">
      <formula>0.9</formula>
    </cfRule>
    <cfRule type="cellIs" dxfId="481" priority="27" operator="lessThan">
      <formula>0.8</formula>
    </cfRule>
    <cfRule type="cellIs" dxfId="480" priority="26" operator="between">
      <formula>0.8</formula>
      <formula>0.9</formula>
    </cfRule>
  </conditionalFormatting>
  <conditionalFormatting sqref="K13:K16">
    <cfRule type="cellIs" dxfId="479" priority="45" operator="lessThan">
      <formula>0.8</formula>
    </cfRule>
    <cfRule type="cellIs" dxfId="478" priority="44" operator="between">
      <formula>0.8</formula>
      <formula>0.9</formula>
    </cfRule>
    <cfRule type="cellIs" dxfId="477" priority="43" operator="greaterThanOrEqual">
      <formula>0.9</formula>
    </cfRule>
  </conditionalFormatting>
  <conditionalFormatting sqref="K18:K19">
    <cfRule type="cellIs" dxfId="476" priority="61" operator="greaterThanOrEqual">
      <formula>0.9</formula>
    </cfRule>
    <cfRule type="cellIs" dxfId="475" priority="62" operator="between">
      <formula>0.8</formula>
      <formula>0.9</formula>
    </cfRule>
    <cfRule type="cellIs" dxfId="474" priority="63" operator="lessThan">
      <formula>0.8</formula>
    </cfRule>
  </conditionalFormatting>
  <conditionalFormatting sqref="K21:K25">
    <cfRule type="cellIs" dxfId="473" priority="81" operator="lessThan">
      <formula>0.8</formula>
    </cfRule>
    <cfRule type="cellIs" dxfId="472" priority="80" operator="between">
      <formula>0.8</formula>
      <formula>0.9</formula>
    </cfRule>
    <cfRule type="cellIs" dxfId="471" priority="79" operator="greaterThanOrEqual">
      <formula>0.9</formula>
    </cfRule>
  </conditionalFormatting>
  <conditionalFormatting sqref="K27:K30">
    <cfRule type="cellIs" dxfId="470" priority="97" operator="greaterThanOrEqual">
      <formula>0.9</formula>
    </cfRule>
    <cfRule type="cellIs" dxfId="469" priority="99" operator="lessThan">
      <formula>0.8</formula>
    </cfRule>
    <cfRule type="cellIs" dxfId="468" priority="98" operator="between">
      <formula>0.8</formula>
      <formula>0.9</formula>
    </cfRule>
  </conditionalFormatting>
  <conditionalFormatting sqref="K32:K36">
    <cfRule type="cellIs" dxfId="467" priority="117" operator="lessThan">
      <formula>0.8</formula>
    </cfRule>
    <cfRule type="cellIs" dxfId="466" priority="115" operator="greaterThanOrEqual">
      <formula>0.9</formula>
    </cfRule>
    <cfRule type="cellIs" dxfId="465" priority="116" operator="between">
      <formula>0.8</formula>
      <formula>0.9</formula>
    </cfRule>
  </conditionalFormatting>
  <conditionalFormatting sqref="K38:K45">
    <cfRule type="cellIs" dxfId="464" priority="134" operator="between">
      <formula>0.8</formula>
      <formula>0.9</formula>
    </cfRule>
    <cfRule type="cellIs" dxfId="463" priority="135" operator="lessThan">
      <formula>0.8</formula>
    </cfRule>
    <cfRule type="cellIs" dxfId="462" priority="133" operator="greaterThanOrEqual">
      <formula>0.9</formula>
    </cfRule>
  </conditionalFormatting>
  <conditionalFormatting sqref="K47">
    <cfRule type="cellIs" dxfId="461" priority="169" operator="greaterThanOrEqual">
      <formula>0.9</formula>
    </cfRule>
    <cfRule type="cellIs" dxfId="460" priority="170" operator="between">
      <formula>0.8</formula>
      <formula>0.9</formula>
    </cfRule>
    <cfRule type="cellIs" dxfId="459" priority="171" operator="lessThan">
      <formula>0.8</formula>
    </cfRule>
  </conditionalFormatting>
  <conditionalFormatting sqref="P6:P7">
    <cfRule type="cellIs" dxfId="458" priority="12" operator="lessThan">
      <formula>0.8</formula>
    </cfRule>
    <cfRule type="cellIs" dxfId="457" priority="11" operator="between">
      <formula>0.8</formula>
      <formula>0.9</formula>
    </cfRule>
    <cfRule type="cellIs" dxfId="456" priority="10" operator="greaterThanOrEqual">
      <formula>0.9</formula>
    </cfRule>
  </conditionalFormatting>
  <conditionalFormatting sqref="P9:P11">
    <cfRule type="cellIs" dxfId="455" priority="30" operator="lessThan">
      <formula>0.8</formula>
    </cfRule>
    <cfRule type="cellIs" dxfId="454" priority="28" operator="greaterThanOrEqual">
      <formula>0.9</formula>
    </cfRule>
    <cfRule type="cellIs" dxfId="453" priority="29" operator="between">
      <formula>0.8</formula>
      <formula>0.9</formula>
    </cfRule>
  </conditionalFormatting>
  <conditionalFormatting sqref="P13:P16">
    <cfRule type="cellIs" dxfId="452" priority="46" operator="greaterThanOrEqual">
      <formula>0.9</formula>
    </cfRule>
    <cfRule type="cellIs" dxfId="451" priority="47" operator="between">
      <formula>0.8</formula>
      <formula>0.9</formula>
    </cfRule>
    <cfRule type="cellIs" dxfId="450" priority="48" operator="lessThan">
      <formula>0.8</formula>
    </cfRule>
  </conditionalFormatting>
  <conditionalFormatting sqref="P18:P19">
    <cfRule type="cellIs" dxfId="449" priority="65" operator="between">
      <formula>0.8</formula>
      <formula>0.9</formula>
    </cfRule>
    <cfRule type="cellIs" dxfId="448" priority="66" operator="lessThan">
      <formula>0.8</formula>
    </cfRule>
    <cfRule type="cellIs" dxfId="447" priority="64" operator="greaterThanOrEqual">
      <formula>0.9</formula>
    </cfRule>
  </conditionalFormatting>
  <conditionalFormatting sqref="P21:P25">
    <cfRule type="cellIs" dxfId="446" priority="82" operator="greaterThanOrEqual">
      <formula>0.9</formula>
    </cfRule>
    <cfRule type="cellIs" dxfId="445" priority="83" operator="between">
      <formula>0.8</formula>
      <formula>0.9</formula>
    </cfRule>
    <cfRule type="cellIs" dxfId="444" priority="84" operator="lessThan">
      <formula>0.8</formula>
    </cfRule>
  </conditionalFormatting>
  <conditionalFormatting sqref="P27:P30">
    <cfRule type="cellIs" dxfId="443" priority="102" operator="lessThan">
      <formula>0.8</formula>
    </cfRule>
    <cfRule type="cellIs" dxfId="442" priority="100" operator="greaterThanOrEqual">
      <formula>0.9</formula>
    </cfRule>
    <cfRule type="cellIs" dxfId="441" priority="101" operator="between">
      <formula>0.8</formula>
      <formula>0.9</formula>
    </cfRule>
  </conditionalFormatting>
  <conditionalFormatting sqref="P32:P36">
    <cfRule type="cellIs" dxfId="440" priority="120" operator="lessThan">
      <formula>0.8</formula>
    </cfRule>
    <cfRule type="cellIs" dxfId="439" priority="118" operator="greaterThanOrEqual">
      <formula>0.9</formula>
    </cfRule>
    <cfRule type="cellIs" dxfId="438" priority="119" operator="between">
      <formula>0.8</formula>
      <formula>0.9</formula>
    </cfRule>
  </conditionalFormatting>
  <conditionalFormatting sqref="P38:P45">
    <cfRule type="cellIs" dxfId="437" priority="136" operator="greaterThanOrEqual">
      <formula>0.9</formula>
    </cfRule>
    <cfRule type="cellIs" dxfId="436" priority="137" operator="between">
      <formula>0.8</formula>
      <formula>0.9</formula>
    </cfRule>
    <cfRule type="cellIs" dxfId="435" priority="138" operator="lessThan">
      <formula>0.8</formula>
    </cfRule>
  </conditionalFormatting>
  <conditionalFormatting sqref="P47">
    <cfRule type="cellIs" dxfId="434" priority="172" operator="greaterThanOrEqual">
      <formula>0.9</formula>
    </cfRule>
    <cfRule type="cellIs" dxfId="433" priority="173" operator="between">
      <formula>0.8</formula>
      <formula>0.9</formula>
    </cfRule>
    <cfRule type="cellIs" dxfId="432" priority="174" operator="lessThan">
      <formula>0.8</formula>
    </cfRule>
  </conditionalFormatting>
  <conditionalFormatting sqref="S6:S7">
    <cfRule type="cellIs" dxfId="431" priority="14" operator="between">
      <formula>0.8</formula>
      <formula>0.9</formula>
    </cfRule>
    <cfRule type="cellIs" dxfId="430" priority="13" operator="greaterThanOrEqual">
      <formula>0.9</formula>
    </cfRule>
    <cfRule type="cellIs" dxfId="429" priority="15" operator="lessThan">
      <formula>0.8</formula>
    </cfRule>
  </conditionalFormatting>
  <conditionalFormatting sqref="S9:S11">
    <cfRule type="cellIs" dxfId="428" priority="31" operator="greaterThanOrEqual">
      <formula>0.9</formula>
    </cfRule>
    <cfRule type="cellIs" dxfId="427" priority="33" operator="lessThan">
      <formula>0.8</formula>
    </cfRule>
    <cfRule type="cellIs" dxfId="426" priority="32" operator="between">
      <formula>0.8</formula>
      <formula>0.9</formula>
    </cfRule>
  </conditionalFormatting>
  <conditionalFormatting sqref="S13:S16">
    <cfRule type="cellIs" dxfId="425" priority="51" operator="lessThan">
      <formula>0.8</formula>
    </cfRule>
    <cfRule type="cellIs" dxfId="424" priority="50" operator="between">
      <formula>0.8</formula>
      <formula>0.9</formula>
    </cfRule>
    <cfRule type="cellIs" dxfId="423" priority="49" operator="greaterThanOrEqual">
      <formula>0.9</formula>
    </cfRule>
  </conditionalFormatting>
  <conditionalFormatting sqref="S18:S19">
    <cfRule type="cellIs" dxfId="422" priority="67" operator="greaterThanOrEqual">
      <formula>0.9</formula>
    </cfRule>
    <cfRule type="cellIs" dxfId="421" priority="69" operator="lessThan">
      <formula>0.8</formula>
    </cfRule>
    <cfRule type="cellIs" dxfId="420" priority="68" operator="between">
      <formula>0.8</formula>
      <formula>0.9</formula>
    </cfRule>
  </conditionalFormatting>
  <conditionalFormatting sqref="S21:S25">
    <cfRule type="cellIs" dxfId="419" priority="86" operator="between">
      <formula>0.8</formula>
      <formula>0.9</formula>
    </cfRule>
    <cfRule type="cellIs" dxfId="418" priority="85" operator="greaterThanOrEqual">
      <formula>0.9</formula>
    </cfRule>
    <cfRule type="cellIs" dxfId="417" priority="87" operator="lessThan">
      <formula>0.8</formula>
    </cfRule>
  </conditionalFormatting>
  <conditionalFormatting sqref="S27:S30">
    <cfRule type="cellIs" dxfId="416" priority="104" operator="between">
      <formula>0.8</formula>
      <formula>0.9</formula>
    </cfRule>
    <cfRule type="cellIs" dxfId="415" priority="103" operator="greaterThanOrEqual">
      <formula>0.9</formula>
    </cfRule>
    <cfRule type="cellIs" dxfId="414" priority="105" operator="lessThan">
      <formula>0.8</formula>
    </cfRule>
  </conditionalFormatting>
  <conditionalFormatting sqref="S32:S36">
    <cfRule type="cellIs" dxfId="413" priority="122" operator="between">
      <formula>0.8</formula>
      <formula>0.9</formula>
    </cfRule>
    <cfRule type="cellIs" dxfId="412" priority="121" operator="greaterThanOrEqual">
      <formula>0.9</formula>
    </cfRule>
    <cfRule type="cellIs" dxfId="411" priority="123" operator="lessThan">
      <formula>0.8</formula>
    </cfRule>
  </conditionalFormatting>
  <conditionalFormatting sqref="S38:S45">
    <cfRule type="cellIs" dxfId="410" priority="141" operator="lessThan">
      <formula>0.8</formula>
    </cfRule>
    <cfRule type="cellIs" dxfId="409" priority="139" operator="greaterThanOrEqual">
      <formula>0.9</formula>
    </cfRule>
    <cfRule type="cellIs" dxfId="408" priority="140" operator="between">
      <formula>0.8</formula>
      <formula>0.9</formula>
    </cfRule>
  </conditionalFormatting>
  <conditionalFormatting sqref="S47">
    <cfRule type="cellIs" dxfId="407" priority="175" operator="greaterThanOrEqual">
      <formula>0.9</formula>
    </cfRule>
    <cfRule type="cellIs" dxfId="406" priority="176" operator="between">
      <formula>0.8</formula>
      <formula>0.9</formula>
    </cfRule>
    <cfRule type="cellIs" dxfId="405" priority="177" operator="lessThan">
      <formula>0.8</formula>
    </cfRule>
  </conditionalFormatting>
  <conditionalFormatting sqref="V6:V7">
    <cfRule type="cellIs" dxfId="404" priority="16" operator="greaterThanOrEqual">
      <formula>0.9</formula>
    </cfRule>
    <cfRule type="cellIs" dxfId="403" priority="18" operator="lessThan">
      <formula>0.8</formula>
    </cfRule>
    <cfRule type="cellIs" dxfId="402" priority="17" operator="between">
      <formula>0.8</formula>
      <formula>0.9</formula>
    </cfRule>
  </conditionalFormatting>
  <conditionalFormatting sqref="V9:V11">
    <cfRule type="cellIs" dxfId="401" priority="35" operator="between">
      <formula>0.8</formula>
      <formula>0.9</formula>
    </cfRule>
    <cfRule type="cellIs" dxfId="400" priority="36" operator="lessThan">
      <formula>0.8</formula>
    </cfRule>
    <cfRule type="cellIs" dxfId="399" priority="34" operator="greaterThanOrEqual">
      <formula>0.9</formula>
    </cfRule>
  </conditionalFormatting>
  <conditionalFormatting sqref="V13:V16">
    <cfRule type="cellIs" dxfId="398" priority="54" operator="lessThan">
      <formula>0.8</formula>
    </cfRule>
    <cfRule type="cellIs" dxfId="397" priority="52" operator="greaterThanOrEqual">
      <formula>0.9</formula>
    </cfRule>
    <cfRule type="cellIs" dxfId="396" priority="53" operator="between">
      <formula>0.8</formula>
      <formula>0.9</formula>
    </cfRule>
  </conditionalFormatting>
  <conditionalFormatting sqref="V18:V19">
    <cfRule type="cellIs" dxfId="395" priority="72" operator="lessThan">
      <formula>0.8</formula>
    </cfRule>
    <cfRule type="cellIs" dxfId="394" priority="71" operator="between">
      <formula>0.8</formula>
      <formula>0.9</formula>
    </cfRule>
    <cfRule type="cellIs" dxfId="393" priority="70" operator="greaterThanOrEqual">
      <formula>0.9</formula>
    </cfRule>
  </conditionalFormatting>
  <conditionalFormatting sqref="V21:V25">
    <cfRule type="cellIs" dxfId="392" priority="88" operator="greaterThanOrEqual">
      <formula>0.9</formula>
    </cfRule>
    <cfRule type="cellIs" dxfId="391" priority="90" operator="lessThan">
      <formula>0.8</formula>
    </cfRule>
    <cfRule type="cellIs" dxfId="390" priority="89" operator="between">
      <formula>0.8</formula>
      <formula>0.9</formula>
    </cfRule>
  </conditionalFormatting>
  <conditionalFormatting sqref="V27:V30">
    <cfRule type="cellIs" dxfId="389" priority="108" operator="lessThan">
      <formula>0.8</formula>
    </cfRule>
    <cfRule type="cellIs" dxfId="388" priority="107" operator="between">
      <formula>0.8</formula>
      <formula>0.9</formula>
    </cfRule>
    <cfRule type="cellIs" dxfId="387" priority="106" operator="greaterThanOrEqual">
      <formula>0.9</formula>
    </cfRule>
  </conditionalFormatting>
  <conditionalFormatting sqref="V32:V36">
    <cfRule type="cellIs" dxfId="386" priority="124" operator="greaterThanOrEqual">
      <formula>0.9</formula>
    </cfRule>
    <cfRule type="cellIs" dxfId="385" priority="126" operator="lessThan">
      <formula>0.8</formula>
    </cfRule>
    <cfRule type="cellIs" dxfId="384" priority="125" operator="between">
      <formula>0.8</formula>
      <formula>0.9</formula>
    </cfRule>
  </conditionalFormatting>
  <conditionalFormatting sqref="V38:V45">
    <cfRule type="cellIs" dxfId="383" priority="142" operator="greaterThanOrEqual">
      <formula>0.9</formula>
    </cfRule>
    <cfRule type="cellIs" dxfId="382" priority="143" operator="between">
      <formula>0.8</formula>
      <formula>0.9</formula>
    </cfRule>
    <cfRule type="cellIs" dxfId="381" priority="144" operator="lessThan">
      <formula>0.8</formula>
    </cfRule>
  </conditionalFormatting>
  <conditionalFormatting sqref="V47">
    <cfRule type="cellIs" dxfId="380" priority="178" operator="greaterThanOrEqual">
      <formula>0.9</formula>
    </cfRule>
    <cfRule type="cellIs" dxfId="379" priority="179" operator="between">
      <formula>0.8</formula>
      <formula>0.9</formula>
    </cfRule>
    <cfRule type="cellIs" dxfId="37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topLeftCell="A14" zoomScale="102" workbookViewId="0">
      <selection activeCell="K8" sqref="K8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62" t="s">
        <v>167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1:22" ht="6" customHeight="1" x14ac:dyDescent="0.25"/>
    <row r="3" spans="1:22" ht="24" customHeight="1" x14ac:dyDescent="0.25">
      <c r="A3" s="61" t="s">
        <v>118</v>
      </c>
      <c r="B3" s="43"/>
      <c r="C3" s="43"/>
      <c r="D3" s="43"/>
      <c r="E3" s="43"/>
      <c r="F3" s="43"/>
      <c r="G3" s="43"/>
      <c r="H3" s="43"/>
      <c r="I3" s="43"/>
      <c r="J3" s="43"/>
      <c r="K3" s="44"/>
      <c r="L3" s="11"/>
      <c r="M3" s="60" t="s">
        <v>119</v>
      </c>
      <c r="N3" s="43"/>
      <c r="O3" s="43"/>
      <c r="P3" s="43"/>
      <c r="Q3" s="43"/>
      <c r="R3" s="43"/>
      <c r="S3" s="43"/>
      <c r="T3" s="43"/>
      <c r="U3" s="43"/>
      <c r="V3" s="44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168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169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170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171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172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173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174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175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176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177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178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179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180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181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182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183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184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185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186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187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188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189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190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191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192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193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194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195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196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197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198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199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200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201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202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18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377" priority="1" operator="greaterThanOrEqual">
      <formula>0.9</formula>
    </cfRule>
    <cfRule type="cellIs" dxfId="376" priority="2" operator="between">
      <formula>0.8</formula>
      <formula>0.9</formula>
    </cfRule>
    <cfRule type="cellIs" dxfId="375" priority="3" operator="lessThan">
      <formula>0.8</formula>
    </cfRule>
  </conditionalFormatting>
  <conditionalFormatting sqref="E10:E12">
    <cfRule type="cellIs" dxfId="374" priority="19" operator="greaterThanOrEqual">
      <formula>0.9</formula>
    </cfRule>
    <cfRule type="cellIs" dxfId="373" priority="20" operator="between">
      <formula>0.8</formula>
      <formula>0.9</formula>
    </cfRule>
    <cfRule type="cellIs" dxfId="372" priority="21" operator="lessThan">
      <formula>0.8</formula>
    </cfRule>
  </conditionalFormatting>
  <conditionalFormatting sqref="E14:E19">
    <cfRule type="cellIs" dxfId="371" priority="37" operator="greaterThanOrEqual">
      <formula>0.9</formula>
    </cfRule>
    <cfRule type="cellIs" dxfId="370" priority="38" operator="between">
      <formula>0.8</formula>
      <formula>0.9</formula>
    </cfRule>
    <cfRule type="cellIs" dxfId="369" priority="39" operator="lessThan">
      <formula>0.8</formula>
    </cfRule>
  </conditionalFormatting>
  <conditionalFormatting sqref="E21:E24">
    <cfRule type="cellIs" dxfId="368" priority="55" operator="greaterThanOrEqual">
      <formula>0.9</formula>
    </cfRule>
    <cfRule type="cellIs" dxfId="367" priority="56" operator="between">
      <formula>0.8</formula>
      <formula>0.9</formula>
    </cfRule>
    <cfRule type="cellIs" dxfId="366" priority="57" operator="lessThan">
      <formula>0.8</formula>
    </cfRule>
  </conditionalFormatting>
  <conditionalFormatting sqref="E26:E32">
    <cfRule type="cellIs" dxfId="365" priority="73" operator="greaterThanOrEqual">
      <formula>0.9</formula>
    </cfRule>
    <cfRule type="cellIs" dxfId="364" priority="74" operator="between">
      <formula>0.8</formula>
      <formula>0.9</formula>
    </cfRule>
    <cfRule type="cellIs" dxfId="363" priority="75" operator="lessThan">
      <formula>0.8</formula>
    </cfRule>
  </conditionalFormatting>
  <conditionalFormatting sqref="E34:E35">
    <cfRule type="cellIs" dxfId="362" priority="91" operator="greaterThanOrEqual">
      <formula>0.9</formula>
    </cfRule>
    <cfRule type="cellIs" dxfId="361" priority="93" operator="lessThan">
      <formula>0.8</formula>
    </cfRule>
    <cfRule type="cellIs" dxfId="360" priority="92" operator="between">
      <formula>0.8</formula>
      <formula>0.9</formula>
    </cfRule>
  </conditionalFormatting>
  <conditionalFormatting sqref="E37:E40">
    <cfRule type="cellIs" dxfId="359" priority="111" operator="lessThan">
      <formula>0.8</formula>
    </cfRule>
    <cfRule type="cellIs" dxfId="358" priority="110" operator="between">
      <formula>0.8</formula>
      <formula>0.9</formula>
    </cfRule>
    <cfRule type="cellIs" dxfId="357" priority="109" operator="greaterThanOrEqual">
      <formula>0.9</formula>
    </cfRule>
  </conditionalFormatting>
  <conditionalFormatting sqref="E42">
    <cfRule type="cellIs" dxfId="356" priority="147" operator="lessThan">
      <formula>0.8</formula>
    </cfRule>
    <cfRule type="cellIs" dxfId="355" priority="145" operator="greaterThanOrEqual">
      <formula>0.9</formula>
    </cfRule>
    <cfRule type="cellIs" dxfId="354" priority="146" operator="between">
      <formula>0.8</formula>
      <formula>0.9</formula>
    </cfRule>
  </conditionalFormatting>
  <conditionalFormatting sqref="H6:H8">
    <cfRule type="cellIs" dxfId="353" priority="4" operator="greaterThanOrEqual">
      <formula>0.9</formula>
    </cfRule>
    <cfRule type="cellIs" dxfId="352" priority="5" operator="between">
      <formula>0.8</formula>
      <formula>0.9</formula>
    </cfRule>
    <cfRule type="cellIs" dxfId="351" priority="6" operator="lessThan">
      <formula>0.8</formula>
    </cfRule>
  </conditionalFormatting>
  <conditionalFormatting sqref="H10:H12">
    <cfRule type="cellIs" dxfId="350" priority="22" operator="greaterThanOrEqual">
      <formula>0.9</formula>
    </cfRule>
    <cfRule type="cellIs" dxfId="349" priority="23" operator="between">
      <formula>0.8</formula>
      <formula>0.9</formula>
    </cfRule>
    <cfRule type="cellIs" dxfId="348" priority="24" operator="lessThan">
      <formula>0.8</formula>
    </cfRule>
  </conditionalFormatting>
  <conditionalFormatting sqref="H14:H19">
    <cfRule type="cellIs" dxfId="347" priority="40" operator="greaterThanOrEqual">
      <formula>0.9</formula>
    </cfRule>
    <cfRule type="cellIs" dxfId="346" priority="41" operator="between">
      <formula>0.8</formula>
      <formula>0.9</formula>
    </cfRule>
    <cfRule type="cellIs" dxfId="345" priority="42" operator="lessThan">
      <formula>0.8</formula>
    </cfRule>
  </conditionalFormatting>
  <conditionalFormatting sqref="H21:H24">
    <cfRule type="cellIs" dxfId="344" priority="58" operator="greaterThanOrEqual">
      <formula>0.9</formula>
    </cfRule>
    <cfRule type="cellIs" dxfId="343" priority="59" operator="between">
      <formula>0.8</formula>
      <formula>0.9</formula>
    </cfRule>
    <cfRule type="cellIs" dxfId="342" priority="60" operator="lessThan">
      <formula>0.8</formula>
    </cfRule>
  </conditionalFormatting>
  <conditionalFormatting sqref="H26:H32">
    <cfRule type="cellIs" dxfId="341" priority="76" operator="greaterThanOrEqual">
      <formula>0.9</formula>
    </cfRule>
    <cfRule type="cellIs" dxfId="340" priority="77" operator="between">
      <formula>0.8</formula>
      <formula>0.9</formula>
    </cfRule>
    <cfRule type="cellIs" dxfId="339" priority="78" operator="lessThan">
      <formula>0.8</formula>
    </cfRule>
  </conditionalFormatting>
  <conditionalFormatting sqref="H34:H35">
    <cfRule type="cellIs" dxfId="338" priority="96" operator="lessThan">
      <formula>0.8</formula>
    </cfRule>
    <cfRule type="cellIs" dxfId="337" priority="95" operator="between">
      <formula>0.8</formula>
      <formula>0.9</formula>
    </cfRule>
    <cfRule type="cellIs" dxfId="336" priority="94" operator="greaterThanOrEqual">
      <formula>0.9</formula>
    </cfRule>
  </conditionalFormatting>
  <conditionalFormatting sqref="H37:H40">
    <cfRule type="cellIs" dxfId="335" priority="114" operator="lessThan">
      <formula>0.8</formula>
    </cfRule>
    <cfRule type="cellIs" dxfId="334" priority="112" operator="greaterThanOrEqual">
      <formula>0.9</formula>
    </cfRule>
    <cfRule type="cellIs" dxfId="333" priority="113" operator="between">
      <formula>0.8</formula>
      <formula>0.9</formula>
    </cfRule>
  </conditionalFormatting>
  <conditionalFormatting sqref="H42">
    <cfRule type="cellIs" dxfId="332" priority="148" operator="greaterThanOrEqual">
      <formula>0.9</formula>
    </cfRule>
    <cfRule type="cellIs" dxfId="331" priority="149" operator="between">
      <formula>0.8</formula>
      <formula>0.9</formula>
    </cfRule>
    <cfRule type="cellIs" dxfId="330" priority="150" operator="lessThan">
      <formula>0.8</formula>
    </cfRule>
  </conditionalFormatting>
  <conditionalFormatting sqref="K6:K8">
    <cfRule type="cellIs" dxfId="329" priority="7" operator="greaterThanOrEqual">
      <formula>0.9</formula>
    </cfRule>
    <cfRule type="cellIs" dxfId="328" priority="8" operator="between">
      <formula>0.8</formula>
      <formula>0.9</formula>
    </cfRule>
    <cfRule type="cellIs" dxfId="327" priority="9" operator="lessThan">
      <formula>0.8</formula>
    </cfRule>
  </conditionalFormatting>
  <conditionalFormatting sqref="K10:K12">
    <cfRule type="cellIs" dxfId="326" priority="25" operator="greaterThanOrEqual">
      <formula>0.9</formula>
    </cfRule>
    <cfRule type="cellIs" dxfId="325" priority="26" operator="between">
      <formula>0.8</formula>
      <formula>0.9</formula>
    </cfRule>
    <cfRule type="cellIs" dxfId="324" priority="27" operator="lessThan">
      <formula>0.8</formula>
    </cfRule>
  </conditionalFormatting>
  <conditionalFormatting sqref="K14:K19">
    <cfRule type="cellIs" dxfId="323" priority="43" operator="greaterThanOrEqual">
      <formula>0.9</formula>
    </cfRule>
    <cfRule type="cellIs" dxfId="322" priority="44" operator="between">
      <formula>0.8</formula>
      <formula>0.9</formula>
    </cfRule>
    <cfRule type="cellIs" dxfId="321" priority="45" operator="lessThan">
      <formula>0.8</formula>
    </cfRule>
  </conditionalFormatting>
  <conditionalFormatting sqref="K21:K24">
    <cfRule type="cellIs" dxfId="320" priority="63" operator="lessThan">
      <formula>0.8</formula>
    </cfRule>
    <cfRule type="cellIs" dxfId="319" priority="61" operator="greaterThanOrEqual">
      <formula>0.9</formula>
    </cfRule>
    <cfRule type="cellIs" dxfId="318" priority="62" operator="between">
      <formula>0.8</formula>
      <formula>0.9</formula>
    </cfRule>
  </conditionalFormatting>
  <conditionalFormatting sqref="K26:K32">
    <cfRule type="cellIs" dxfId="317" priority="79" operator="greaterThanOrEqual">
      <formula>0.9</formula>
    </cfRule>
    <cfRule type="cellIs" dxfId="316" priority="80" operator="between">
      <formula>0.8</formula>
      <formula>0.9</formula>
    </cfRule>
    <cfRule type="cellIs" dxfId="315" priority="81" operator="lessThan">
      <formula>0.8</formula>
    </cfRule>
  </conditionalFormatting>
  <conditionalFormatting sqref="K34:K35">
    <cfRule type="cellIs" dxfId="314" priority="98" operator="between">
      <formula>0.8</formula>
      <formula>0.9</formula>
    </cfRule>
    <cfRule type="cellIs" dxfId="313" priority="97" operator="greaterThanOrEqual">
      <formula>0.9</formula>
    </cfRule>
    <cfRule type="cellIs" dxfId="312" priority="99" operator="lessThan">
      <formula>0.8</formula>
    </cfRule>
  </conditionalFormatting>
  <conditionalFormatting sqref="K37:K40">
    <cfRule type="cellIs" dxfId="311" priority="117" operator="lessThan">
      <formula>0.8</formula>
    </cfRule>
    <cfRule type="cellIs" dxfId="310" priority="116" operator="between">
      <formula>0.8</formula>
      <formula>0.9</formula>
    </cfRule>
    <cfRule type="cellIs" dxfId="309" priority="115" operator="greaterThanOrEqual">
      <formula>0.9</formula>
    </cfRule>
  </conditionalFormatting>
  <conditionalFormatting sqref="K42">
    <cfRule type="cellIs" dxfId="308" priority="153" operator="lessThan">
      <formula>0.8</formula>
    </cfRule>
    <cfRule type="cellIs" dxfId="307" priority="152" operator="between">
      <formula>0.8</formula>
      <formula>0.9</formula>
    </cfRule>
    <cfRule type="cellIs" dxfId="306" priority="151" operator="greaterThanOrEqual">
      <formula>0.9</formula>
    </cfRule>
  </conditionalFormatting>
  <conditionalFormatting sqref="P6:P8">
    <cfRule type="cellIs" dxfId="305" priority="10" operator="greaterThanOrEqual">
      <formula>0.9</formula>
    </cfRule>
    <cfRule type="cellIs" dxfId="304" priority="11" operator="between">
      <formula>0.8</formula>
      <formula>0.9</formula>
    </cfRule>
    <cfRule type="cellIs" dxfId="303" priority="12" operator="lessThan">
      <formula>0.8</formula>
    </cfRule>
  </conditionalFormatting>
  <conditionalFormatting sqref="P10:P12">
    <cfRule type="cellIs" dxfId="302" priority="29" operator="between">
      <formula>0.8</formula>
      <formula>0.9</formula>
    </cfRule>
    <cfRule type="cellIs" dxfId="301" priority="30" operator="lessThan">
      <formula>0.8</formula>
    </cfRule>
    <cfRule type="cellIs" dxfId="300" priority="28" operator="greaterThanOrEqual">
      <formula>0.9</formula>
    </cfRule>
  </conditionalFormatting>
  <conditionalFormatting sqref="P14:P19">
    <cfRule type="cellIs" dxfId="299" priority="48" operator="lessThan">
      <formula>0.8</formula>
    </cfRule>
    <cfRule type="cellIs" dxfId="298" priority="46" operator="greaterThanOrEqual">
      <formula>0.9</formula>
    </cfRule>
    <cfRule type="cellIs" dxfId="297" priority="47" operator="between">
      <formula>0.8</formula>
      <formula>0.9</formula>
    </cfRule>
  </conditionalFormatting>
  <conditionalFormatting sqref="P21:P24">
    <cfRule type="cellIs" dxfId="296" priority="64" operator="greaterThanOrEqual">
      <formula>0.9</formula>
    </cfRule>
    <cfRule type="cellIs" dxfId="295" priority="65" operator="between">
      <formula>0.8</formula>
      <formula>0.9</formula>
    </cfRule>
    <cfRule type="cellIs" dxfId="294" priority="66" operator="lessThan">
      <formula>0.8</formula>
    </cfRule>
  </conditionalFormatting>
  <conditionalFormatting sqref="P26:P32">
    <cfRule type="cellIs" dxfId="293" priority="83" operator="between">
      <formula>0.8</formula>
      <formula>0.9</formula>
    </cfRule>
    <cfRule type="cellIs" dxfId="292" priority="84" operator="lessThan">
      <formula>0.8</formula>
    </cfRule>
    <cfRule type="cellIs" dxfId="291" priority="82" operator="greaterThanOrEqual">
      <formula>0.9</formula>
    </cfRule>
  </conditionalFormatting>
  <conditionalFormatting sqref="P34:P35">
    <cfRule type="cellIs" dxfId="290" priority="102" operator="lessThan">
      <formula>0.8</formula>
    </cfRule>
    <cfRule type="cellIs" dxfId="289" priority="101" operator="between">
      <formula>0.8</formula>
      <formula>0.9</formula>
    </cfRule>
    <cfRule type="cellIs" dxfId="288" priority="100" operator="greaterThanOrEqual">
      <formula>0.9</formula>
    </cfRule>
  </conditionalFormatting>
  <conditionalFormatting sqref="P37:P40">
    <cfRule type="cellIs" dxfId="287" priority="119" operator="between">
      <formula>0.8</formula>
      <formula>0.9</formula>
    </cfRule>
    <cfRule type="cellIs" dxfId="286" priority="120" operator="lessThan">
      <formula>0.8</formula>
    </cfRule>
    <cfRule type="cellIs" dxfId="285" priority="118" operator="greaterThanOrEqual">
      <formula>0.9</formula>
    </cfRule>
  </conditionalFormatting>
  <conditionalFormatting sqref="P42">
    <cfRule type="cellIs" dxfId="284" priority="155" operator="between">
      <formula>0.8</formula>
      <formula>0.9</formula>
    </cfRule>
    <cfRule type="cellIs" dxfId="283" priority="154" operator="greaterThanOrEqual">
      <formula>0.9</formula>
    </cfRule>
    <cfRule type="cellIs" dxfId="282" priority="156" operator="lessThan">
      <formula>0.8</formula>
    </cfRule>
  </conditionalFormatting>
  <conditionalFormatting sqref="S6:S8">
    <cfRule type="cellIs" dxfId="281" priority="13" operator="greaterThanOrEqual">
      <formula>0.9</formula>
    </cfRule>
    <cfRule type="cellIs" dxfId="280" priority="14" operator="between">
      <formula>0.8</formula>
      <formula>0.9</formula>
    </cfRule>
    <cfRule type="cellIs" dxfId="279" priority="15" operator="lessThan">
      <formula>0.8</formula>
    </cfRule>
  </conditionalFormatting>
  <conditionalFormatting sqref="S10:S12">
    <cfRule type="cellIs" dxfId="278" priority="31" operator="greaterThanOrEqual">
      <formula>0.9</formula>
    </cfRule>
    <cfRule type="cellIs" dxfId="277" priority="32" operator="between">
      <formula>0.8</formula>
      <formula>0.9</formula>
    </cfRule>
    <cfRule type="cellIs" dxfId="276" priority="33" operator="lessThan">
      <formula>0.8</formula>
    </cfRule>
  </conditionalFormatting>
  <conditionalFormatting sqref="S14:S19">
    <cfRule type="cellIs" dxfId="275" priority="50" operator="between">
      <formula>0.8</formula>
      <formula>0.9</formula>
    </cfRule>
    <cfRule type="cellIs" dxfId="274" priority="51" operator="lessThan">
      <formula>0.8</formula>
    </cfRule>
    <cfRule type="cellIs" dxfId="273" priority="49" operator="greaterThanOrEqual">
      <formula>0.9</formula>
    </cfRule>
  </conditionalFormatting>
  <conditionalFormatting sqref="S21:S24">
    <cfRule type="cellIs" dxfId="272" priority="68" operator="between">
      <formula>0.8</formula>
      <formula>0.9</formula>
    </cfRule>
    <cfRule type="cellIs" dxfId="271" priority="69" operator="lessThan">
      <formula>0.8</formula>
    </cfRule>
    <cfRule type="cellIs" dxfId="270" priority="67" operator="greaterThanOrEqual">
      <formula>0.9</formula>
    </cfRule>
  </conditionalFormatting>
  <conditionalFormatting sqref="S26:S32">
    <cfRule type="cellIs" dxfId="269" priority="85" operator="greaterThanOrEqual">
      <formula>0.9</formula>
    </cfRule>
    <cfRule type="cellIs" dxfId="268" priority="87" operator="lessThan">
      <formula>0.8</formula>
    </cfRule>
    <cfRule type="cellIs" dxfId="267" priority="86" operator="between">
      <formula>0.8</formula>
      <formula>0.9</formula>
    </cfRule>
  </conditionalFormatting>
  <conditionalFormatting sqref="S34:S35">
    <cfRule type="cellIs" dxfId="266" priority="105" operator="lessThan">
      <formula>0.8</formula>
    </cfRule>
    <cfRule type="cellIs" dxfId="265" priority="104" operator="between">
      <formula>0.8</formula>
      <formula>0.9</formula>
    </cfRule>
    <cfRule type="cellIs" dxfId="264" priority="103" operator="greaterThanOrEqual">
      <formula>0.9</formula>
    </cfRule>
  </conditionalFormatting>
  <conditionalFormatting sqref="S37:S40">
    <cfRule type="cellIs" dxfId="263" priority="121" operator="greaterThanOrEqual">
      <formula>0.9</formula>
    </cfRule>
    <cfRule type="cellIs" dxfId="262" priority="122" operator="between">
      <formula>0.8</formula>
      <formula>0.9</formula>
    </cfRule>
    <cfRule type="cellIs" dxfId="261" priority="123" operator="lessThan">
      <formula>0.8</formula>
    </cfRule>
  </conditionalFormatting>
  <conditionalFormatting sqref="S42">
    <cfRule type="cellIs" dxfId="260" priority="157" operator="greaterThanOrEqual">
      <formula>0.9</formula>
    </cfRule>
    <cfRule type="cellIs" dxfId="259" priority="158" operator="between">
      <formula>0.8</formula>
      <formula>0.9</formula>
    </cfRule>
    <cfRule type="cellIs" dxfId="258" priority="159" operator="lessThan">
      <formula>0.8</formula>
    </cfRule>
  </conditionalFormatting>
  <conditionalFormatting sqref="V6:V8">
    <cfRule type="cellIs" dxfId="257" priority="16" operator="greaterThanOrEqual">
      <formula>0.9</formula>
    </cfRule>
    <cfRule type="cellIs" dxfId="256" priority="18" operator="lessThan">
      <formula>0.8</formula>
    </cfRule>
    <cfRule type="cellIs" dxfId="255" priority="17" operator="between">
      <formula>0.8</formula>
      <formula>0.9</formula>
    </cfRule>
  </conditionalFormatting>
  <conditionalFormatting sqref="V10:V12">
    <cfRule type="cellIs" dxfId="254" priority="35" operator="between">
      <formula>0.8</formula>
      <formula>0.9</formula>
    </cfRule>
    <cfRule type="cellIs" dxfId="253" priority="34" operator="greaterThanOrEqual">
      <formula>0.9</formula>
    </cfRule>
    <cfRule type="cellIs" dxfId="252" priority="36" operator="lessThan">
      <formula>0.8</formula>
    </cfRule>
  </conditionalFormatting>
  <conditionalFormatting sqref="V14:V19">
    <cfRule type="cellIs" dxfId="251" priority="54" operator="lessThan">
      <formula>0.8</formula>
    </cfRule>
    <cfRule type="cellIs" dxfId="250" priority="53" operator="between">
      <formula>0.8</formula>
      <formula>0.9</formula>
    </cfRule>
    <cfRule type="cellIs" dxfId="249" priority="52" operator="greaterThanOrEqual">
      <formula>0.9</formula>
    </cfRule>
  </conditionalFormatting>
  <conditionalFormatting sqref="V21:V24">
    <cfRule type="cellIs" dxfId="248" priority="70" operator="greaterThanOrEqual">
      <formula>0.9</formula>
    </cfRule>
    <cfRule type="cellIs" dxfId="247" priority="71" operator="between">
      <formula>0.8</formula>
      <formula>0.9</formula>
    </cfRule>
    <cfRule type="cellIs" dxfId="246" priority="72" operator="lessThan">
      <formula>0.8</formula>
    </cfRule>
  </conditionalFormatting>
  <conditionalFormatting sqref="V26:V32">
    <cfRule type="cellIs" dxfId="245" priority="90" operator="lessThan">
      <formula>0.8</formula>
    </cfRule>
    <cfRule type="cellIs" dxfId="244" priority="89" operator="between">
      <formula>0.8</formula>
      <formula>0.9</formula>
    </cfRule>
    <cfRule type="cellIs" dxfId="243" priority="88" operator="greaterThanOrEqual">
      <formula>0.9</formula>
    </cfRule>
  </conditionalFormatting>
  <conditionalFormatting sqref="V34:V35">
    <cfRule type="cellIs" dxfId="242" priority="108" operator="lessThan">
      <formula>0.8</formula>
    </cfRule>
    <cfRule type="cellIs" dxfId="241" priority="107" operator="between">
      <formula>0.8</formula>
      <formula>0.9</formula>
    </cfRule>
    <cfRule type="cellIs" dxfId="240" priority="106" operator="greaterThanOrEqual">
      <formula>0.9</formula>
    </cfRule>
  </conditionalFormatting>
  <conditionalFormatting sqref="V37:V40">
    <cfRule type="cellIs" dxfId="239" priority="125" operator="between">
      <formula>0.8</formula>
      <formula>0.9</formula>
    </cfRule>
    <cfRule type="cellIs" dxfId="238" priority="126" operator="lessThan">
      <formula>0.8</formula>
    </cfRule>
    <cfRule type="cellIs" dxfId="237" priority="124" operator="greaterThanOrEqual">
      <formula>0.9</formula>
    </cfRule>
  </conditionalFormatting>
  <conditionalFormatting sqref="V42">
    <cfRule type="cellIs" dxfId="236" priority="160" operator="greaterThanOrEqual">
      <formula>0.9</formula>
    </cfRule>
    <cfRule type="cellIs" dxfId="235" priority="161" operator="between">
      <formula>0.8</formula>
      <formula>0.9</formula>
    </cfRule>
    <cfRule type="cellIs" dxfId="23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tabSelected="1" topLeftCell="A4" workbookViewId="0">
      <selection activeCell="G32" sqref="G32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59" t="s">
        <v>203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1:22" ht="6" customHeight="1" x14ac:dyDescent="0.25"/>
    <row r="3" spans="1:22" ht="24" customHeight="1" x14ac:dyDescent="0.25">
      <c r="A3" s="61" t="s">
        <v>118</v>
      </c>
      <c r="B3" s="43"/>
      <c r="C3" s="43"/>
      <c r="D3" s="43"/>
      <c r="E3" s="43"/>
      <c r="F3" s="43"/>
      <c r="G3" s="43"/>
      <c r="H3" s="43"/>
      <c r="I3" s="43"/>
      <c r="J3" s="43"/>
      <c r="K3" s="44"/>
      <c r="L3" s="11"/>
      <c r="M3" s="60" t="s">
        <v>119</v>
      </c>
      <c r="N3" s="43"/>
      <c r="O3" s="43"/>
      <c r="P3" s="43"/>
      <c r="Q3" s="43"/>
      <c r="R3" s="43"/>
      <c r="S3" s="43"/>
      <c r="T3" s="43"/>
      <c r="U3" s="43"/>
      <c r="V3" s="44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168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204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205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206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207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208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209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210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211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212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213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214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215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216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217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218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219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220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221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222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223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224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225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18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33" priority="1" operator="greaterThanOrEqual">
      <formula>0.9</formula>
    </cfRule>
    <cfRule type="cellIs" dxfId="232" priority="2" operator="between">
      <formula>0.8</formula>
      <formula>0.9</formula>
    </cfRule>
    <cfRule type="cellIs" dxfId="231" priority="3" operator="lessThan">
      <formula>0.8</formula>
    </cfRule>
  </conditionalFormatting>
  <conditionalFormatting sqref="E13:E16">
    <cfRule type="cellIs" dxfId="230" priority="19" operator="greaterThanOrEqual">
      <formula>0.9</formula>
    </cfRule>
    <cfRule type="cellIs" dxfId="229" priority="20" operator="between">
      <formula>0.8</formula>
      <formula>0.9</formula>
    </cfRule>
    <cfRule type="cellIs" dxfId="228" priority="21" operator="lessThan">
      <formula>0.8</formula>
    </cfRule>
  </conditionalFormatting>
  <conditionalFormatting sqref="E18:E19">
    <cfRule type="cellIs" dxfId="227" priority="39" operator="lessThan">
      <formula>0.8</formula>
    </cfRule>
    <cfRule type="cellIs" dxfId="226" priority="38" operator="between">
      <formula>0.8</formula>
      <formula>0.9</formula>
    </cfRule>
    <cfRule type="cellIs" dxfId="225" priority="37" operator="greaterThanOrEqual">
      <formula>0.9</formula>
    </cfRule>
  </conditionalFormatting>
  <conditionalFormatting sqref="E21:E23">
    <cfRule type="cellIs" dxfId="224" priority="57" operator="lessThan">
      <formula>0.8</formula>
    </cfRule>
    <cfRule type="cellIs" dxfId="223" priority="55" operator="greaterThanOrEqual">
      <formula>0.9</formula>
    </cfRule>
    <cfRule type="cellIs" dxfId="222" priority="56" operator="between">
      <formula>0.8</formula>
      <formula>0.9</formula>
    </cfRule>
  </conditionalFormatting>
  <conditionalFormatting sqref="E25:E28">
    <cfRule type="cellIs" dxfId="221" priority="73" operator="greaterThanOrEqual">
      <formula>0.9</formula>
    </cfRule>
    <cfRule type="cellIs" dxfId="220" priority="75" operator="lessThan">
      <formula>0.8</formula>
    </cfRule>
    <cfRule type="cellIs" dxfId="219" priority="74" operator="between">
      <formula>0.8</formula>
      <formula>0.9</formula>
    </cfRule>
  </conditionalFormatting>
  <conditionalFormatting sqref="E30">
    <cfRule type="cellIs" dxfId="218" priority="109" operator="greaterThanOrEqual">
      <formula>0.9</formula>
    </cfRule>
    <cfRule type="cellIs" dxfId="217" priority="110" operator="between">
      <formula>0.8</formula>
      <formula>0.9</formula>
    </cfRule>
    <cfRule type="cellIs" dxfId="216" priority="111" operator="lessThan">
      <formula>0.8</formula>
    </cfRule>
  </conditionalFormatting>
  <conditionalFormatting sqref="H6:H11">
    <cfRule type="cellIs" dxfId="215" priority="5" operator="between">
      <formula>0.8</formula>
      <formula>0.9</formula>
    </cfRule>
    <cfRule type="cellIs" dxfId="214" priority="6" operator="lessThan">
      <formula>0.8</formula>
    </cfRule>
    <cfRule type="cellIs" dxfId="213" priority="4" operator="greaterThanOrEqual">
      <formula>0.9</formula>
    </cfRule>
  </conditionalFormatting>
  <conditionalFormatting sqref="H13:H16">
    <cfRule type="cellIs" dxfId="212" priority="24" operator="lessThan">
      <formula>0.8</formula>
    </cfRule>
    <cfRule type="cellIs" dxfId="211" priority="22" operator="greaterThanOrEqual">
      <formula>0.9</formula>
    </cfRule>
    <cfRule type="cellIs" dxfId="210" priority="23" operator="between">
      <formula>0.8</formula>
      <formula>0.9</formula>
    </cfRule>
  </conditionalFormatting>
  <conditionalFormatting sqref="H18:H19">
    <cfRule type="cellIs" dxfId="209" priority="42" operator="lessThan">
      <formula>0.8</formula>
    </cfRule>
    <cfRule type="cellIs" dxfId="208" priority="41" operator="between">
      <formula>0.8</formula>
      <formula>0.9</formula>
    </cfRule>
    <cfRule type="cellIs" dxfId="207" priority="40" operator="greaterThanOrEqual">
      <formula>0.9</formula>
    </cfRule>
  </conditionalFormatting>
  <conditionalFormatting sqref="H21:H23">
    <cfRule type="cellIs" dxfId="206" priority="60" operator="lessThan">
      <formula>0.8</formula>
    </cfRule>
    <cfRule type="cellIs" dxfId="205" priority="59" operator="between">
      <formula>0.8</formula>
      <formula>0.9</formula>
    </cfRule>
    <cfRule type="cellIs" dxfId="204" priority="58" operator="greaterThanOrEqual">
      <formula>0.9</formula>
    </cfRule>
  </conditionalFormatting>
  <conditionalFormatting sqref="H25:H28">
    <cfRule type="cellIs" dxfId="203" priority="76" operator="greaterThanOrEqual">
      <formula>0.9</formula>
    </cfRule>
    <cfRule type="cellIs" dxfId="202" priority="77" operator="between">
      <formula>0.8</formula>
      <formula>0.9</formula>
    </cfRule>
    <cfRule type="cellIs" dxfId="201" priority="78" operator="lessThan">
      <formula>0.8</formula>
    </cfRule>
  </conditionalFormatting>
  <conditionalFormatting sqref="H30">
    <cfRule type="cellIs" dxfId="200" priority="114" operator="lessThan">
      <formula>0.8</formula>
    </cfRule>
    <cfRule type="cellIs" dxfId="199" priority="112" operator="greaterThanOrEqual">
      <formula>0.9</formula>
    </cfRule>
    <cfRule type="cellIs" dxfId="198" priority="113" operator="between">
      <formula>0.8</formula>
      <formula>0.9</formula>
    </cfRule>
  </conditionalFormatting>
  <conditionalFormatting sqref="K6:K11">
    <cfRule type="cellIs" dxfId="197" priority="7" operator="greaterThanOrEqual">
      <formula>0.9</formula>
    </cfRule>
    <cfRule type="cellIs" dxfId="196" priority="8" operator="between">
      <formula>0.8</formula>
      <formula>0.9</formula>
    </cfRule>
    <cfRule type="cellIs" dxfId="195" priority="9" operator="lessThan">
      <formula>0.8</formula>
    </cfRule>
  </conditionalFormatting>
  <conditionalFormatting sqref="K13:K16">
    <cfRule type="cellIs" dxfId="194" priority="26" operator="between">
      <formula>0.8</formula>
      <formula>0.9</formula>
    </cfRule>
    <cfRule type="cellIs" dxfId="193" priority="27" operator="lessThan">
      <formula>0.8</formula>
    </cfRule>
    <cfRule type="cellIs" dxfId="192" priority="25" operator="greaterThanOrEqual">
      <formula>0.9</formula>
    </cfRule>
  </conditionalFormatting>
  <conditionalFormatting sqref="K18:K19">
    <cfRule type="cellIs" dxfId="191" priority="45" operator="lessThan">
      <formula>0.8</formula>
    </cfRule>
    <cfRule type="cellIs" dxfId="190" priority="43" operator="greaterThanOrEqual">
      <formula>0.9</formula>
    </cfRule>
    <cfRule type="cellIs" dxfId="189" priority="44" operator="between">
      <formula>0.8</formula>
      <formula>0.9</formula>
    </cfRule>
  </conditionalFormatting>
  <conditionalFormatting sqref="K21:K23">
    <cfRule type="cellIs" dxfId="188" priority="61" operator="greaterThanOrEqual">
      <formula>0.9</formula>
    </cfRule>
    <cfRule type="cellIs" dxfId="187" priority="62" operator="between">
      <formula>0.8</formula>
      <formula>0.9</formula>
    </cfRule>
    <cfRule type="cellIs" dxfId="186" priority="63" operator="lessThan">
      <formula>0.8</formula>
    </cfRule>
  </conditionalFormatting>
  <conditionalFormatting sqref="K25:K28">
    <cfRule type="cellIs" dxfId="185" priority="81" operator="lessThan">
      <formula>0.8</formula>
    </cfRule>
    <cfRule type="cellIs" dxfId="184" priority="80" operator="between">
      <formula>0.8</formula>
      <formula>0.9</formula>
    </cfRule>
    <cfRule type="cellIs" dxfId="183" priority="79" operator="greaterThanOrEqual">
      <formula>0.9</formula>
    </cfRule>
  </conditionalFormatting>
  <conditionalFormatting sqref="K30">
    <cfRule type="cellIs" dxfId="182" priority="117" operator="lessThan">
      <formula>0.8</formula>
    </cfRule>
    <cfRule type="cellIs" dxfId="181" priority="116" operator="between">
      <formula>0.8</formula>
      <formula>0.9</formula>
    </cfRule>
    <cfRule type="cellIs" dxfId="180" priority="115" operator="greaterThanOrEqual">
      <formula>0.9</formula>
    </cfRule>
  </conditionalFormatting>
  <conditionalFormatting sqref="P6:P11">
    <cfRule type="cellIs" dxfId="179" priority="10" operator="greaterThanOrEqual">
      <formula>0.9</formula>
    </cfRule>
    <cfRule type="cellIs" dxfId="178" priority="11" operator="between">
      <formula>0.8</formula>
      <formula>0.9</formula>
    </cfRule>
    <cfRule type="cellIs" dxfId="177" priority="12" operator="lessThan">
      <formula>0.8</formula>
    </cfRule>
  </conditionalFormatting>
  <conditionalFormatting sqref="P13:P16">
    <cfRule type="cellIs" dxfId="176" priority="28" operator="greaterThanOrEqual">
      <formula>0.9</formula>
    </cfRule>
    <cfRule type="cellIs" dxfId="175" priority="29" operator="between">
      <formula>0.8</formula>
      <formula>0.9</formula>
    </cfRule>
    <cfRule type="cellIs" dxfId="174" priority="30" operator="lessThan">
      <formula>0.8</formula>
    </cfRule>
  </conditionalFormatting>
  <conditionalFormatting sqref="P18:P19">
    <cfRule type="cellIs" dxfId="173" priority="48" operator="lessThan">
      <formula>0.8</formula>
    </cfRule>
    <cfRule type="cellIs" dxfId="172" priority="47" operator="between">
      <formula>0.8</formula>
      <formula>0.9</formula>
    </cfRule>
    <cfRule type="cellIs" dxfId="171" priority="46" operator="greaterThanOrEqual">
      <formula>0.9</formula>
    </cfRule>
  </conditionalFormatting>
  <conditionalFormatting sqref="P21:P23">
    <cfRule type="cellIs" dxfId="170" priority="64" operator="greaterThanOrEqual">
      <formula>0.9</formula>
    </cfRule>
    <cfRule type="cellIs" dxfId="169" priority="65" operator="between">
      <formula>0.8</formula>
      <formula>0.9</formula>
    </cfRule>
    <cfRule type="cellIs" dxfId="168" priority="66" operator="lessThan">
      <formula>0.8</formula>
    </cfRule>
  </conditionalFormatting>
  <conditionalFormatting sqref="P25:P28">
    <cfRule type="cellIs" dxfId="167" priority="84" operator="lessThan">
      <formula>0.8</formula>
    </cfRule>
    <cfRule type="cellIs" dxfId="166" priority="82" operator="greaterThanOrEqual">
      <formula>0.9</formula>
    </cfRule>
    <cfRule type="cellIs" dxfId="165" priority="83" operator="between">
      <formula>0.8</formula>
      <formula>0.9</formula>
    </cfRule>
  </conditionalFormatting>
  <conditionalFormatting sqref="P30">
    <cfRule type="cellIs" dxfId="164" priority="120" operator="lessThan">
      <formula>0.8</formula>
    </cfRule>
    <cfRule type="cellIs" dxfId="163" priority="119" operator="between">
      <formula>0.8</formula>
      <formula>0.9</formula>
    </cfRule>
    <cfRule type="cellIs" dxfId="162" priority="118" operator="greaterThanOrEqual">
      <formula>0.9</formula>
    </cfRule>
  </conditionalFormatting>
  <conditionalFormatting sqref="S6:S11">
    <cfRule type="cellIs" dxfId="161" priority="13" operator="greaterThanOrEqual">
      <formula>0.9</formula>
    </cfRule>
    <cfRule type="cellIs" dxfId="160" priority="15" operator="lessThan">
      <formula>0.8</formula>
    </cfRule>
    <cfRule type="cellIs" dxfId="159" priority="14" operator="between">
      <formula>0.8</formula>
      <formula>0.9</formula>
    </cfRule>
  </conditionalFormatting>
  <conditionalFormatting sqref="S13:S16">
    <cfRule type="cellIs" dxfId="158" priority="33" operator="lessThan">
      <formula>0.8</formula>
    </cfRule>
    <cfRule type="cellIs" dxfId="157" priority="31" operator="greaterThanOrEqual">
      <formula>0.9</formula>
    </cfRule>
    <cfRule type="cellIs" dxfId="156" priority="32" operator="between">
      <formula>0.8</formula>
      <formula>0.9</formula>
    </cfRule>
  </conditionalFormatting>
  <conditionalFormatting sqref="S18:S19">
    <cfRule type="cellIs" dxfId="155" priority="51" operator="lessThan">
      <formula>0.8</formula>
    </cfRule>
    <cfRule type="cellIs" dxfId="154" priority="49" operator="greaterThanOrEqual">
      <formula>0.9</formula>
    </cfRule>
    <cfRule type="cellIs" dxfId="153" priority="50" operator="between">
      <formula>0.8</formula>
      <formula>0.9</formula>
    </cfRule>
  </conditionalFormatting>
  <conditionalFormatting sqref="S21:S23">
    <cfRule type="cellIs" dxfId="152" priority="69" operator="lessThan">
      <formula>0.8</formula>
    </cfRule>
    <cfRule type="cellIs" dxfId="151" priority="67" operator="greaterThanOrEqual">
      <formula>0.9</formula>
    </cfRule>
    <cfRule type="cellIs" dxfId="150" priority="68" operator="between">
      <formula>0.8</formula>
      <formula>0.9</formula>
    </cfRule>
  </conditionalFormatting>
  <conditionalFormatting sqref="S25:S28">
    <cfRule type="cellIs" dxfId="149" priority="85" operator="greaterThanOrEqual">
      <formula>0.9</formula>
    </cfRule>
    <cfRule type="cellIs" dxfId="148" priority="86" operator="between">
      <formula>0.8</formula>
      <formula>0.9</formula>
    </cfRule>
    <cfRule type="cellIs" dxfId="147" priority="87" operator="lessThan">
      <formula>0.8</formula>
    </cfRule>
  </conditionalFormatting>
  <conditionalFormatting sqref="S30">
    <cfRule type="cellIs" dxfId="146" priority="123" operator="lessThan">
      <formula>0.8</formula>
    </cfRule>
    <cfRule type="cellIs" dxfId="145" priority="122" operator="between">
      <formula>0.8</formula>
      <formula>0.9</formula>
    </cfRule>
    <cfRule type="cellIs" dxfId="144" priority="121" operator="greaterThanOrEqual">
      <formula>0.9</formula>
    </cfRule>
  </conditionalFormatting>
  <conditionalFormatting sqref="V6:V11">
    <cfRule type="cellIs" dxfId="143" priority="17" operator="between">
      <formula>0.8</formula>
      <formula>0.9</formula>
    </cfRule>
    <cfRule type="cellIs" dxfId="142" priority="16" operator="greaterThanOrEqual">
      <formula>0.9</formula>
    </cfRule>
    <cfRule type="cellIs" dxfId="141" priority="18" operator="lessThan">
      <formula>0.8</formula>
    </cfRule>
  </conditionalFormatting>
  <conditionalFormatting sqref="V13:V16">
    <cfRule type="cellIs" dxfId="140" priority="35" operator="between">
      <formula>0.8</formula>
      <formula>0.9</formula>
    </cfRule>
    <cfRule type="cellIs" dxfId="139" priority="34" operator="greaterThanOrEqual">
      <formula>0.9</formula>
    </cfRule>
    <cfRule type="cellIs" dxfId="138" priority="36" operator="lessThan">
      <formula>0.8</formula>
    </cfRule>
  </conditionalFormatting>
  <conditionalFormatting sqref="V18:V19">
    <cfRule type="cellIs" dxfId="137" priority="52" operator="greaterThanOrEqual">
      <formula>0.9</formula>
    </cfRule>
    <cfRule type="cellIs" dxfId="136" priority="53" operator="between">
      <formula>0.8</formula>
      <formula>0.9</formula>
    </cfRule>
    <cfRule type="cellIs" dxfId="135" priority="54" operator="lessThan">
      <formula>0.8</formula>
    </cfRule>
  </conditionalFormatting>
  <conditionalFormatting sqref="V21:V23">
    <cfRule type="cellIs" dxfId="134" priority="72" operator="lessThan">
      <formula>0.8</formula>
    </cfRule>
    <cfRule type="cellIs" dxfId="133" priority="70" operator="greaterThanOrEqual">
      <formula>0.9</formula>
    </cfRule>
    <cfRule type="cellIs" dxfId="132" priority="71" operator="between">
      <formula>0.8</formula>
      <formula>0.9</formula>
    </cfRule>
  </conditionalFormatting>
  <conditionalFormatting sqref="V25:V28">
    <cfRule type="cellIs" dxfId="131" priority="90" operator="lessThan">
      <formula>0.8</formula>
    </cfRule>
    <cfRule type="cellIs" dxfId="130" priority="89" operator="between">
      <formula>0.8</formula>
      <formula>0.9</formula>
    </cfRule>
    <cfRule type="cellIs" dxfId="129" priority="88" operator="greaterThanOrEqual">
      <formula>0.9</formula>
    </cfRule>
  </conditionalFormatting>
  <conditionalFormatting sqref="V30">
    <cfRule type="cellIs" dxfId="128" priority="124" operator="greaterThanOrEqual">
      <formula>0.9</formula>
    </cfRule>
    <cfRule type="cellIs" dxfId="127" priority="125" operator="between">
      <formula>0.8</formula>
      <formula>0.9</formula>
    </cfRule>
    <cfRule type="cellIs" dxfId="12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opLeftCell="A19" zoomScale="86" workbookViewId="0">
      <selection sqref="A1:V1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59" t="s">
        <v>226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1:22" ht="6" customHeight="1" x14ac:dyDescent="0.25"/>
    <row r="3" spans="1:22" ht="24" customHeight="1" x14ac:dyDescent="0.25">
      <c r="A3" s="61" t="s">
        <v>118</v>
      </c>
      <c r="B3" s="43"/>
      <c r="C3" s="43"/>
      <c r="D3" s="43"/>
      <c r="E3" s="43"/>
      <c r="F3" s="43"/>
      <c r="G3" s="43"/>
      <c r="H3" s="43"/>
      <c r="I3" s="43"/>
      <c r="J3" s="43"/>
      <c r="K3" s="44"/>
      <c r="L3" s="11"/>
      <c r="M3" s="60" t="s">
        <v>119</v>
      </c>
      <c r="N3" s="43"/>
      <c r="O3" s="43"/>
      <c r="P3" s="43"/>
      <c r="Q3" s="43"/>
      <c r="R3" s="43"/>
      <c r="S3" s="43"/>
      <c r="T3" s="43"/>
      <c r="U3" s="43"/>
      <c r="V3" s="44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227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228</v>
      </c>
      <c r="B6" s="15"/>
      <c r="C6" s="15"/>
      <c r="D6" s="15"/>
      <c r="E6" s="15" t="str">
        <f>IF(AND(C6&lt;&gt;"",D6&lt;&gt;""),D6/C6,"")</f>
        <v/>
      </c>
      <c r="F6" s="15"/>
      <c r="G6" s="15"/>
      <c r="H6" s="15" t="str">
        <f>IF(AND(F6&lt;&gt;"",G6&lt;&gt;""),G6/F6,"")</f>
        <v/>
      </c>
      <c r="I6" s="15">
        <f>C6-F6</f>
        <v>0</v>
      </c>
      <c r="J6" s="15">
        <f>D6-G6</f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229</v>
      </c>
      <c r="B7" s="15"/>
      <c r="C7" s="15"/>
      <c r="D7" s="15"/>
      <c r="E7" s="15" t="str">
        <f>IF(AND(C7&lt;&gt;"",D7&lt;&gt;""),D7/C7,"")</f>
        <v/>
      </c>
      <c r="F7" s="15"/>
      <c r="G7" s="15"/>
      <c r="H7" s="15" t="str">
        <f>IF(AND(F7&lt;&gt;"",G7&lt;&gt;""),G7/F7,"")</f>
        <v/>
      </c>
      <c r="I7" s="15">
        <f>C7-F7</f>
        <v>0</v>
      </c>
      <c r="J7" s="15">
        <f>D7-G7</f>
        <v>0</v>
      </c>
      <c r="K7" s="15" t="e">
        <f>IF(AND(I7&lt;&gt;"",J7&lt;&gt;""),J7/I7,"")</f>
        <v>#DIV/0!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230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231</v>
      </c>
      <c r="B9" s="15"/>
      <c r="C9" s="15"/>
      <c r="D9" s="15"/>
      <c r="E9" s="15" t="str">
        <f>IF(AND(C9&lt;&gt;"",D9&lt;&gt;""),D9/C9,"")</f>
        <v/>
      </c>
      <c r="F9" s="15"/>
      <c r="G9" s="15"/>
      <c r="H9" s="15" t="str">
        <f>IF(AND(F9&lt;&gt;"",G9&lt;&gt;""),G9/F9,"")</f>
        <v/>
      </c>
      <c r="I9" s="15">
        <f t="shared" ref="I9:J11" si="0">C9-F9</f>
        <v>0</v>
      </c>
      <c r="J9" s="15">
        <f t="shared" si="0"/>
        <v>0</v>
      </c>
      <c r="K9" s="15" t="e">
        <f>IF(AND(I9&lt;&gt;"",J9&lt;&gt;""),J9/I9,"")</f>
        <v>#DIV/0!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232</v>
      </c>
      <c r="B10" s="15"/>
      <c r="C10" s="15"/>
      <c r="D10" s="15"/>
      <c r="E10" s="15" t="str">
        <f>IF(AND(C10&lt;&gt;"",D10&lt;&gt;""),D10/C10,"")</f>
        <v/>
      </c>
      <c r="F10" s="15"/>
      <c r="G10" s="15"/>
      <c r="H10" s="15" t="str">
        <f>IF(AND(F10&lt;&gt;"",G10&lt;&gt;""),G10/F10,"")</f>
        <v/>
      </c>
      <c r="I10" s="15">
        <f t="shared" si="0"/>
        <v>0</v>
      </c>
      <c r="J10" s="15">
        <f t="shared" si="0"/>
        <v>0</v>
      </c>
      <c r="K10" s="15" t="e">
        <f>IF(AND(I10&lt;&gt;"",J10&lt;&gt;""),J10/I10,"")</f>
        <v>#DIV/0!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233</v>
      </c>
      <c r="B11" s="15"/>
      <c r="C11" s="15"/>
      <c r="D11" s="15"/>
      <c r="E11" s="15" t="str">
        <f>IF(AND(C11&lt;&gt;"",D11&lt;&gt;""),D11/C11,"")</f>
        <v/>
      </c>
      <c r="F11" s="15"/>
      <c r="G11" s="15"/>
      <c r="H11" s="15" t="str">
        <f>IF(AND(F11&lt;&gt;"",G11&lt;&gt;""),G11/F11,"")</f>
        <v/>
      </c>
      <c r="I11" s="15">
        <f t="shared" si="0"/>
        <v>0</v>
      </c>
      <c r="J11" s="15">
        <f t="shared" si="0"/>
        <v>0</v>
      </c>
      <c r="K11" s="15" t="e">
        <f>IF(AND(I11&lt;&gt;"",J11&lt;&gt;""),J11/I11,"")</f>
        <v>#DIV/0!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234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235</v>
      </c>
      <c r="B13" s="15"/>
      <c r="C13" s="15"/>
      <c r="D13" s="15"/>
      <c r="E13" s="15" t="str">
        <f t="shared" ref="E13:E20" si="2">IF(AND(C13&lt;&gt;"",D13&lt;&gt;""),D13/C13,"")</f>
        <v/>
      </c>
      <c r="F13" s="15"/>
      <c r="G13" s="15"/>
      <c r="H13" s="15" t="str">
        <f t="shared" ref="H13:H20" si="3">IF(AND(F13&lt;&gt;"",G13&lt;&gt;""),G13/F13,"")</f>
        <v/>
      </c>
      <c r="I13" s="15">
        <f t="shared" ref="I13:J20" si="4">C13-F13</f>
        <v>0</v>
      </c>
      <c r="J13" s="15">
        <f t="shared" si="4"/>
        <v>0</v>
      </c>
      <c r="K13" s="15" t="e">
        <f t="shared" ref="K13:K20" si="5">IF(AND(I13&lt;&gt;"",J13&lt;&gt;""),J13/I13,"")</f>
        <v>#DIV/0!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236</v>
      </c>
      <c r="B14" s="15"/>
      <c r="C14" s="15"/>
      <c r="D14" s="15"/>
      <c r="E14" s="15" t="str">
        <f t="shared" si="2"/>
        <v/>
      </c>
      <c r="F14" s="15"/>
      <c r="G14" s="15"/>
      <c r="H14" s="15" t="str">
        <f t="shared" si="3"/>
        <v/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237</v>
      </c>
      <c r="B15" s="15"/>
      <c r="C15" s="15"/>
      <c r="D15" s="15"/>
      <c r="E15" s="15" t="str">
        <f t="shared" si="2"/>
        <v/>
      </c>
      <c r="F15" s="15"/>
      <c r="G15" s="15"/>
      <c r="H15" s="15" t="str">
        <f t="shared" si="3"/>
        <v/>
      </c>
      <c r="I15" s="15">
        <f t="shared" si="4"/>
        <v>0</v>
      </c>
      <c r="J15" s="15">
        <f t="shared" si="4"/>
        <v>0</v>
      </c>
      <c r="K15" s="15" t="e">
        <f t="shared" si="5"/>
        <v>#DIV/0!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238</v>
      </c>
      <c r="B16" s="15"/>
      <c r="C16" s="15"/>
      <c r="D16" s="15"/>
      <c r="E16" s="15" t="str">
        <f t="shared" si="2"/>
        <v/>
      </c>
      <c r="F16" s="15"/>
      <c r="G16" s="15"/>
      <c r="H16" s="15" t="str">
        <f t="shared" si="3"/>
        <v/>
      </c>
      <c r="I16" s="15">
        <f t="shared" si="4"/>
        <v>0</v>
      </c>
      <c r="J16" s="15">
        <f t="shared" si="4"/>
        <v>0</v>
      </c>
      <c r="K16" s="15" t="e">
        <f t="shared" si="5"/>
        <v>#DIV/0!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239</v>
      </c>
      <c r="B17" s="15"/>
      <c r="C17" s="15"/>
      <c r="D17" s="15"/>
      <c r="E17" s="15" t="str">
        <f t="shared" si="2"/>
        <v/>
      </c>
      <c r="F17" s="15"/>
      <c r="G17" s="15"/>
      <c r="H17" s="15" t="str">
        <f t="shared" si="3"/>
        <v/>
      </c>
      <c r="I17" s="15">
        <f t="shared" si="4"/>
        <v>0</v>
      </c>
      <c r="J17" s="15">
        <f t="shared" si="4"/>
        <v>0</v>
      </c>
      <c r="K17" s="15" t="e">
        <f t="shared" si="5"/>
        <v>#DIV/0!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240</v>
      </c>
      <c r="B18" s="15"/>
      <c r="C18" s="15"/>
      <c r="D18" s="15"/>
      <c r="E18" s="15" t="str">
        <f t="shared" si="2"/>
        <v/>
      </c>
      <c r="F18" s="15"/>
      <c r="G18" s="15"/>
      <c r="H18" s="15" t="str">
        <f t="shared" si="3"/>
        <v/>
      </c>
      <c r="I18" s="15">
        <f t="shared" si="4"/>
        <v>0</v>
      </c>
      <c r="J18" s="15">
        <f t="shared" si="4"/>
        <v>0</v>
      </c>
      <c r="K18" s="15" t="e">
        <f t="shared" si="5"/>
        <v>#DIV/0!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241</v>
      </c>
      <c r="B19" s="15"/>
      <c r="C19" s="15"/>
      <c r="D19" s="15"/>
      <c r="E19" s="15" t="str">
        <f t="shared" si="2"/>
        <v/>
      </c>
      <c r="F19" s="15"/>
      <c r="G19" s="15"/>
      <c r="H19" s="15" t="str">
        <f t="shared" si="3"/>
        <v/>
      </c>
      <c r="I19" s="15">
        <f t="shared" si="4"/>
        <v>0</v>
      </c>
      <c r="J19" s="15">
        <f t="shared" si="4"/>
        <v>0</v>
      </c>
      <c r="K19" s="15" t="e">
        <f t="shared" si="5"/>
        <v>#DIV/0!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242</v>
      </c>
      <c r="B20" s="15"/>
      <c r="C20" s="15"/>
      <c r="D20" s="15"/>
      <c r="E20" s="15" t="str">
        <f t="shared" si="2"/>
        <v/>
      </c>
      <c r="F20" s="15"/>
      <c r="G20" s="15"/>
      <c r="H20" s="15" t="str">
        <f t="shared" si="3"/>
        <v/>
      </c>
      <c r="I20" s="15">
        <f t="shared" si="4"/>
        <v>0</v>
      </c>
      <c r="J20" s="15">
        <f t="shared" si="4"/>
        <v>0</v>
      </c>
      <c r="K20" s="15" t="e">
        <f t="shared" si="5"/>
        <v>#DIV/0!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243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244</v>
      </c>
      <c r="B22" s="15"/>
      <c r="C22" s="15"/>
      <c r="D22" s="15"/>
      <c r="E22" s="15" t="str">
        <f t="shared" ref="E22:E28" si="10">IF(AND(C22&lt;&gt;"",D22&lt;&gt;""),D22/C22,"")</f>
        <v/>
      </c>
      <c r="F22" s="15"/>
      <c r="G22" s="15"/>
      <c r="H22" s="15" t="str">
        <f t="shared" ref="H22:H28" si="11">IF(AND(F22&lt;&gt;"",G22&lt;&gt;""),G22/F22,"")</f>
        <v/>
      </c>
      <c r="I22" s="15">
        <f t="shared" ref="I22:J28" si="12">C22-F22</f>
        <v>0</v>
      </c>
      <c r="J22" s="15">
        <f t="shared" si="12"/>
        <v>0</v>
      </c>
      <c r="K22" s="15" t="e">
        <f t="shared" ref="K22:K28" si="13">IF(AND(I22&lt;&gt;"",J22&lt;&gt;""),J22/I22,"")</f>
        <v>#DIV/0!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245</v>
      </c>
      <c r="B23" s="15"/>
      <c r="C23" s="15"/>
      <c r="D23" s="15"/>
      <c r="E23" s="15" t="str">
        <f t="shared" si="10"/>
        <v/>
      </c>
      <c r="F23" s="15"/>
      <c r="G23" s="15"/>
      <c r="H23" s="15" t="str">
        <f t="shared" si="11"/>
        <v/>
      </c>
      <c r="I23" s="15">
        <f t="shared" si="12"/>
        <v>0</v>
      </c>
      <c r="J23" s="15">
        <f t="shared" si="12"/>
        <v>0</v>
      </c>
      <c r="K23" s="15" t="e">
        <f t="shared" si="13"/>
        <v>#DIV/0!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246</v>
      </c>
      <c r="B24" s="15"/>
      <c r="C24" s="15"/>
      <c r="D24" s="15"/>
      <c r="E24" s="15" t="str">
        <f t="shared" si="10"/>
        <v/>
      </c>
      <c r="F24" s="15"/>
      <c r="G24" s="15"/>
      <c r="H24" s="15" t="str">
        <f t="shared" si="11"/>
        <v/>
      </c>
      <c r="I24" s="15">
        <f t="shared" si="12"/>
        <v>0</v>
      </c>
      <c r="J24" s="15">
        <f t="shared" si="12"/>
        <v>0</v>
      </c>
      <c r="K24" s="15" t="e">
        <f t="shared" si="13"/>
        <v>#DIV/0!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247</v>
      </c>
      <c r="B25" s="15"/>
      <c r="C25" s="15"/>
      <c r="D25" s="15"/>
      <c r="E25" s="15" t="str">
        <f t="shared" si="10"/>
        <v/>
      </c>
      <c r="F25" s="15"/>
      <c r="G25" s="15"/>
      <c r="H25" s="15" t="str">
        <f t="shared" si="11"/>
        <v/>
      </c>
      <c r="I25" s="15">
        <f t="shared" si="12"/>
        <v>0</v>
      </c>
      <c r="J25" s="15">
        <f t="shared" si="12"/>
        <v>0</v>
      </c>
      <c r="K25" s="15" t="e">
        <f t="shared" si="13"/>
        <v>#DIV/0!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248</v>
      </c>
      <c r="B26" s="15"/>
      <c r="C26" s="15"/>
      <c r="D26" s="15"/>
      <c r="E26" s="15" t="str">
        <f t="shared" si="10"/>
        <v/>
      </c>
      <c r="F26" s="15"/>
      <c r="G26" s="15"/>
      <c r="H26" s="15" t="str">
        <f t="shared" si="11"/>
        <v/>
      </c>
      <c r="I26" s="15">
        <f t="shared" si="12"/>
        <v>0</v>
      </c>
      <c r="J26" s="15">
        <f t="shared" si="12"/>
        <v>0</v>
      </c>
      <c r="K26" s="15" t="e">
        <f t="shared" si="13"/>
        <v>#DIV/0!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249</v>
      </c>
      <c r="B27" s="15"/>
      <c r="C27" s="15"/>
      <c r="D27" s="15"/>
      <c r="E27" s="15" t="str">
        <f t="shared" si="10"/>
        <v/>
      </c>
      <c r="F27" s="15"/>
      <c r="G27" s="15"/>
      <c r="H27" s="15" t="str">
        <f t="shared" si="11"/>
        <v/>
      </c>
      <c r="I27" s="15">
        <f t="shared" si="12"/>
        <v>0</v>
      </c>
      <c r="J27" s="15">
        <f t="shared" si="12"/>
        <v>0</v>
      </c>
      <c r="K27" s="15" t="e">
        <f t="shared" si="13"/>
        <v>#DIV/0!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250</v>
      </c>
      <c r="B28" s="15"/>
      <c r="C28" s="15"/>
      <c r="D28" s="15"/>
      <c r="E28" s="15" t="str">
        <f t="shared" si="10"/>
        <v/>
      </c>
      <c r="F28" s="15"/>
      <c r="G28" s="15"/>
      <c r="H28" s="15" t="str">
        <f t="shared" si="11"/>
        <v/>
      </c>
      <c r="I28" s="15">
        <f t="shared" si="12"/>
        <v>0</v>
      </c>
      <c r="J28" s="15">
        <f t="shared" si="12"/>
        <v>0</v>
      </c>
      <c r="K28" s="15" t="e">
        <f t="shared" si="13"/>
        <v>#DIV/0!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251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252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ref="I30:J32" si="18">C30-F30</f>
        <v>0</v>
      </c>
      <c r="J30" s="15">
        <f t="shared" si="18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253</v>
      </c>
      <c r="B31" s="15"/>
      <c r="C31" s="15"/>
      <c r="D31" s="15"/>
      <c r="E31" s="15" t="str">
        <f>IF(AND(C31&lt;&gt;"",D31&lt;&gt;""),D31/C31,"")</f>
        <v/>
      </c>
      <c r="F31" s="15"/>
      <c r="G31" s="15"/>
      <c r="H31" s="15" t="str">
        <f>IF(AND(F31&lt;&gt;"",G31&lt;&gt;""),G31/F31,"")</f>
        <v/>
      </c>
      <c r="I31" s="15">
        <f t="shared" si="18"/>
        <v>0</v>
      </c>
      <c r="J31" s="15">
        <f t="shared" si="18"/>
        <v>0</v>
      </c>
      <c r="K31" s="15" t="e">
        <f>IF(AND(I31&lt;&gt;"",J31&lt;&gt;""),J31/I31,"")</f>
        <v>#DIV/0!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254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255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256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257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258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259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260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</v>
      </c>
      <c r="B39" s="17"/>
      <c r="C39" s="18">
        <f>SUM(C5:C38)</f>
        <v>0</v>
      </c>
      <c r="D39" s="18">
        <f>SUM(D5:D38)</f>
        <v>0</v>
      </c>
      <c r="E39" s="18" t="e">
        <f t="shared" si="20"/>
        <v>#DIV/0!</v>
      </c>
      <c r="F39" s="18">
        <f>SUM(F5:F38)</f>
        <v>0</v>
      </c>
      <c r="G39" s="18">
        <f>SUM(G5:G38)</f>
        <v>0</v>
      </c>
      <c r="H39" s="18" t="e">
        <f t="shared" si="21"/>
        <v>#DIV/0!</v>
      </c>
      <c r="I39" s="18">
        <f>SUM(I5:I38)</f>
        <v>0</v>
      </c>
      <c r="J39" s="18">
        <f>SUM(J5:J38)</f>
        <v>0</v>
      </c>
      <c r="K39" s="18" t="e">
        <f t="shared" si="23"/>
        <v>#DIV/0!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18</v>
      </c>
      <c r="B41" s="20"/>
      <c r="C41" s="21">
        <f>C39+N39</f>
        <v>0</v>
      </c>
      <c r="D41" s="21">
        <f>D39+O39</f>
        <v>0</v>
      </c>
      <c r="E41" s="21" t="e">
        <f>IF(AND(C41&lt;&gt;"",D41&lt;&gt;""),D41/C41,"")</f>
        <v>#DIV/0!</v>
      </c>
      <c r="F41" s="21">
        <f>F39+Q39</f>
        <v>0</v>
      </c>
      <c r="G41" s="21">
        <f>G39+R39</f>
        <v>0</v>
      </c>
      <c r="H41" s="21" t="e">
        <f>IF(AND(F41&lt;&gt;"",G41&lt;&gt;""),G41/F41,"")</f>
        <v>#DIV/0!</v>
      </c>
      <c r="I41" s="21">
        <f>I39+T39</f>
        <v>0</v>
      </c>
      <c r="J41" s="21">
        <f>J39+U39</f>
        <v>0</v>
      </c>
      <c r="K41" s="21" t="e">
        <f>IF(AND(I41&lt;&gt;"",J41&lt;&gt;""),J41/I41,"")</f>
        <v>#DIV/0!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25" priority="1" operator="greaterThanOrEqual">
      <formula>0.9</formula>
    </cfRule>
    <cfRule type="cellIs" dxfId="124" priority="2" operator="between">
      <formula>0.8</formula>
      <formula>0.9</formula>
    </cfRule>
    <cfRule type="cellIs" dxfId="123" priority="3" operator="lessThan">
      <formula>0.8</formula>
    </cfRule>
  </conditionalFormatting>
  <conditionalFormatting sqref="E9:E11">
    <cfRule type="cellIs" dxfId="122" priority="19" operator="greaterThanOrEqual">
      <formula>0.9</formula>
    </cfRule>
    <cfRule type="cellIs" dxfId="121" priority="20" operator="between">
      <formula>0.8</formula>
      <formula>0.9</formula>
    </cfRule>
    <cfRule type="cellIs" dxfId="120" priority="21" operator="lessThan">
      <formula>0.8</formula>
    </cfRule>
  </conditionalFormatting>
  <conditionalFormatting sqref="E13:E20">
    <cfRule type="cellIs" dxfId="119" priority="38" operator="between">
      <formula>0.8</formula>
      <formula>0.9</formula>
    </cfRule>
    <cfRule type="cellIs" dxfId="118" priority="39" operator="lessThan">
      <formula>0.8</formula>
    </cfRule>
    <cfRule type="cellIs" dxfId="117" priority="37" operator="greaterThanOrEqual">
      <formula>0.9</formula>
    </cfRule>
  </conditionalFormatting>
  <conditionalFormatting sqref="E22:E28">
    <cfRule type="cellIs" dxfId="116" priority="55" operator="greaterThanOrEqual">
      <formula>0.9</formula>
    </cfRule>
    <cfRule type="cellIs" dxfId="115" priority="56" operator="between">
      <formula>0.8</formula>
      <formula>0.9</formula>
    </cfRule>
    <cfRule type="cellIs" dxfId="114" priority="57" operator="lessThan">
      <formula>0.8</formula>
    </cfRule>
  </conditionalFormatting>
  <conditionalFormatting sqref="E30:E32">
    <cfRule type="cellIs" dxfId="113" priority="73" operator="greaterThanOrEqual">
      <formula>0.9</formula>
    </cfRule>
    <cfRule type="cellIs" dxfId="112" priority="74" operator="between">
      <formula>0.8</formula>
      <formula>0.9</formula>
    </cfRule>
    <cfRule type="cellIs" dxfId="111" priority="75" operator="lessThan">
      <formula>0.8</formula>
    </cfRule>
  </conditionalFormatting>
  <conditionalFormatting sqref="E34:E39">
    <cfRule type="cellIs" dxfId="110" priority="92" operator="between">
      <formula>0.8</formula>
      <formula>0.9</formula>
    </cfRule>
    <cfRule type="cellIs" dxfId="109" priority="91" operator="greaterThanOrEqual">
      <formula>0.9</formula>
    </cfRule>
    <cfRule type="cellIs" dxfId="108" priority="93" operator="lessThan">
      <formula>0.8</formula>
    </cfRule>
  </conditionalFormatting>
  <conditionalFormatting sqref="E41">
    <cfRule type="cellIs" dxfId="107" priority="129" operator="lessThan">
      <formula>0.8</formula>
    </cfRule>
    <cfRule type="cellIs" dxfId="106" priority="127" operator="greaterThanOrEqual">
      <formula>0.9</formula>
    </cfRule>
    <cfRule type="cellIs" dxfId="105" priority="128" operator="between">
      <formula>0.8</formula>
      <formula>0.9</formula>
    </cfRule>
  </conditionalFormatting>
  <conditionalFormatting sqref="H6:H7">
    <cfRule type="cellIs" dxfId="104" priority="4" operator="greaterThanOrEqual">
      <formula>0.9</formula>
    </cfRule>
    <cfRule type="cellIs" dxfId="103" priority="5" operator="between">
      <formula>0.8</formula>
      <formula>0.9</formula>
    </cfRule>
    <cfRule type="cellIs" dxfId="102" priority="6" operator="lessThan">
      <formula>0.8</formula>
    </cfRule>
  </conditionalFormatting>
  <conditionalFormatting sqref="H9:H11">
    <cfRule type="cellIs" dxfId="101" priority="22" operator="greaterThanOrEqual">
      <formula>0.9</formula>
    </cfRule>
    <cfRule type="cellIs" dxfId="100" priority="23" operator="between">
      <formula>0.8</formula>
      <formula>0.9</formula>
    </cfRule>
    <cfRule type="cellIs" dxfId="99" priority="24" operator="lessThan">
      <formula>0.8</formula>
    </cfRule>
  </conditionalFormatting>
  <conditionalFormatting sqref="H13:H20">
    <cfRule type="cellIs" dxfId="98" priority="40" operator="greaterThanOrEqual">
      <formula>0.9</formula>
    </cfRule>
    <cfRule type="cellIs" dxfId="97" priority="41" operator="between">
      <formula>0.8</formula>
      <formula>0.9</formula>
    </cfRule>
    <cfRule type="cellIs" dxfId="96" priority="42" operator="lessThan">
      <formula>0.8</formula>
    </cfRule>
  </conditionalFormatting>
  <conditionalFormatting sqref="H22:H28">
    <cfRule type="cellIs" dxfId="95" priority="60" operator="lessThan">
      <formula>0.8</formula>
    </cfRule>
    <cfRule type="cellIs" dxfId="94" priority="59" operator="between">
      <formula>0.8</formula>
      <formula>0.9</formula>
    </cfRule>
    <cfRule type="cellIs" dxfId="93" priority="58" operator="greaterThanOrEqual">
      <formula>0.9</formula>
    </cfRule>
  </conditionalFormatting>
  <conditionalFormatting sqref="H30:H32">
    <cfRule type="cellIs" dxfId="92" priority="78" operator="lessThan">
      <formula>0.8</formula>
    </cfRule>
    <cfRule type="cellIs" dxfId="91" priority="76" operator="greaterThanOrEqual">
      <formula>0.9</formula>
    </cfRule>
    <cfRule type="cellIs" dxfId="90" priority="77" operator="between">
      <formula>0.8</formula>
      <formula>0.9</formula>
    </cfRule>
  </conditionalFormatting>
  <conditionalFormatting sqref="H34:H39">
    <cfRule type="cellIs" dxfId="89" priority="94" operator="greaterThanOrEqual">
      <formula>0.9</formula>
    </cfRule>
    <cfRule type="cellIs" dxfId="88" priority="95" operator="between">
      <formula>0.8</formula>
      <formula>0.9</formula>
    </cfRule>
    <cfRule type="cellIs" dxfId="87" priority="96" operator="lessThan">
      <formula>0.8</formula>
    </cfRule>
  </conditionalFormatting>
  <conditionalFormatting sqref="H41">
    <cfRule type="cellIs" dxfId="86" priority="130" operator="greaterThanOrEqual">
      <formula>0.9</formula>
    </cfRule>
    <cfRule type="cellIs" dxfId="85" priority="131" operator="between">
      <formula>0.8</formula>
      <formula>0.9</formula>
    </cfRule>
    <cfRule type="cellIs" dxfId="84" priority="132" operator="lessThan">
      <formula>0.8</formula>
    </cfRule>
  </conditionalFormatting>
  <conditionalFormatting sqref="K6:K7">
    <cfRule type="cellIs" dxfId="83" priority="9" operator="lessThan">
      <formula>0.8</formula>
    </cfRule>
    <cfRule type="cellIs" dxfId="82" priority="8" operator="between">
      <formula>0.8</formula>
      <formula>0.9</formula>
    </cfRule>
    <cfRule type="cellIs" dxfId="81" priority="7" operator="greaterThanOrEqual">
      <formula>0.9</formula>
    </cfRule>
  </conditionalFormatting>
  <conditionalFormatting sqref="K9:K11">
    <cfRule type="cellIs" dxfId="80" priority="27" operator="lessThan">
      <formula>0.8</formula>
    </cfRule>
    <cfRule type="cellIs" dxfId="79" priority="25" operator="greaterThanOrEqual">
      <formula>0.9</formula>
    </cfRule>
    <cfRule type="cellIs" dxfId="78" priority="26" operator="between">
      <formula>0.8</formula>
      <formula>0.9</formula>
    </cfRule>
  </conditionalFormatting>
  <conditionalFormatting sqref="K13:K20">
    <cfRule type="cellIs" dxfId="77" priority="44" operator="between">
      <formula>0.8</formula>
      <formula>0.9</formula>
    </cfRule>
    <cfRule type="cellIs" dxfId="76" priority="45" operator="lessThan">
      <formula>0.8</formula>
    </cfRule>
    <cfRule type="cellIs" dxfId="75" priority="43" operator="greaterThanOrEqual">
      <formula>0.9</formula>
    </cfRule>
  </conditionalFormatting>
  <conditionalFormatting sqref="K22:K28">
    <cfRule type="cellIs" dxfId="74" priority="62" operator="between">
      <formula>0.8</formula>
      <formula>0.9</formula>
    </cfRule>
    <cfRule type="cellIs" dxfId="73" priority="63" operator="lessThan">
      <formula>0.8</formula>
    </cfRule>
    <cfRule type="cellIs" dxfId="72" priority="61" operator="greaterThanOrEqual">
      <formula>0.9</formula>
    </cfRule>
  </conditionalFormatting>
  <conditionalFormatting sqref="K30:K32">
    <cfRule type="cellIs" dxfId="71" priority="79" operator="greaterThanOrEqual">
      <formula>0.9</formula>
    </cfRule>
    <cfRule type="cellIs" dxfId="70" priority="80" operator="between">
      <formula>0.8</formula>
      <formula>0.9</formula>
    </cfRule>
    <cfRule type="cellIs" dxfId="69" priority="81" operator="lessThan">
      <formula>0.8</formula>
    </cfRule>
  </conditionalFormatting>
  <conditionalFormatting sqref="K34:K39">
    <cfRule type="cellIs" dxfId="68" priority="97" operator="greaterThanOrEqual">
      <formula>0.9</formula>
    </cfRule>
    <cfRule type="cellIs" dxfId="67" priority="98" operator="between">
      <formula>0.8</formula>
      <formula>0.9</formula>
    </cfRule>
    <cfRule type="cellIs" dxfId="66" priority="99" operator="lessThan">
      <formula>0.8</formula>
    </cfRule>
  </conditionalFormatting>
  <conditionalFormatting sqref="K41">
    <cfRule type="cellIs" dxfId="65" priority="133" operator="greaterThanOrEqual">
      <formula>0.9</formula>
    </cfRule>
    <cfRule type="cellIs" dxfId="64" priority="134" operator="between">
      <formula>0.8</formula>
      <formula>0.9</formula>
    </cfRule>
    <cfRule type="cellIs" dxfId="63" priority="135" operator="lessThan">
      <formula>0.8</formula>
    </cfRule>
  </conditionalFormatting>
  <conditionalFormatting sqref="P6:P7">
    <cfRule type="cellIs" dxfId="62" priority="10" operator="greaterThanOrEqual">
      <formula>0.9</formula>
    </cfRule>
    <cfRule type="cellIs" dxfId="61" priority="12" operator="lessThan">
      <formula>0.8</formula>
    </cfRule>
    <cfRule type="cellIs" dxfId="60" priority="11" operator="between">
      <formula>0.8</formula>
      <formula>0.9</formula>
    </cfRule>
  </conditionalFormatting>
  <conditionalFormatting sqref="P9:P11">
    <cfRule type="cellIs" dxfId="59" priority="28" operator="greaterThanOrEqual">
      <formula>0.9</formula>
    </cfRule>
    <cfRule type="cellIs" dxfId="58" priority="30" operator="lessThan">
      <formula>0.8</formula>
    </cfRule>
    <cfRule type="cellIs" dxfId="57" priority="29" operator="between">
      <formula>0.8</formula>
      <formula>0.9</formula>
    </cfRule>
  </conditionalFormatting>
  <conditionalFormatting sqref="P13:P20">
    <cfRule type="cellIs" dxfId="56" priority="46" operator="greaterThanOrEqual">
      <formula>0.9</formula>
    </cfRule>
    <cfRule type="cellIs" dxfId="55" priority="47" operator="between">
      <formula>0.8</formula>
      <formula>0.9</formula>
    </cfRule>
    <cfRule type="cellIs" dxfId="54" priority="48" operator="lessThan">
      <formula>0.8</formula>
    </cfRule>
  </conditionalFormatting>
  <conditionalFormatting sqref="P22:P28">
    <cfRule type="cellIs" dxfId="53" priority="64" operator="greaterThanOrEqual">
      <formula>0.9</formula>
    </cfRule>
    <cfRule type="cellIs" dxfId="52" priority="65" operator="between">
      <formula>0.8</formula>
      <formula>0.9</formula>
    </cfRule>
    <cfRule type="cellIs" dxfId="51" priority="66" operator="lessThan">
      <formula>0.8</formula>
    </cfRule>
  </conditionalFormatting>
  <conditionalFormatting sqref="P30:P32">
    <cfRule type="cellIs" dxfId="50" priority="82" operator="greaterThanOrEqual">
      <formula>0.9</formula>
    </cfRule>
    <cfRule type="cellIs" dxfId="49" priority="83" operator="between">
      <formula>0.8</formula>
      <formula>0.9</formula>
    </cfRule>
    <cfRule type="cellIs" dxfId="48" priority="84" operator="lessThan">
      <formula>0.8</formula>
    </cfRule>
  </conditionalFormatting>
  <conditionalFormatting sqref="P34:P39">
    <cfRule type="cellIs" dxfId="47" priority="102" operator="lessThan">
      <formula>0.8</formula>
    </cfRule>
    <cfRule type="cellIs" dxfId="46" priority="100" operator="greaterThanOrEqual">
      <formula>0.9</formula>
    </cfRule>
    <cfRule type="cellIs" dxfId="45" priority="101" operator="between">
      <formula>0.8</formula>
      <formula>0.9</formula>
    </cfRule>
  </conditionalFormatting>
  <conditionalFormatting sqref="P41">
    <cfRule type="cellIs" dxfId="44" priority="138" operator="lessThan">
      <formula>0.8</formula>
    </cfRule>
    <cfRule type="cellIs" dxfId="43" priority="136" operator="greaterThanOrEqual">
      <formula>0.9</formula>
    </cfRule>
    <cfRule type="cellIs" dxfId="42" priority="137" operator="between">
      <formula>0.8</formula>
      <formula>0.9</formula>
    </cfRule>
  </conditionalFormatting>
  <conditionalFormatting sqref="S6:S7">
    <cfRule type="cellIs" dxfId="41" priority="15" operator="lessThan">
      <formula>0.8</formula>
    </cfRule>
    <cfRule type="cellIs" dxfId="40" priority="14" operator="between">
      <formula>0.8</formula>
      <formula>0.9</formula>
    </cfRule>
    <cfRule type="cellIs" dxfId="39" priority="13" operator="greaterThanOrEqual">
      <formula>0.9</formula>
    </cfRule>
  </conditionalFormatting>
  <conditionalFormatting sqref="S9:S11">
    <cfRule type="cellIs" dxfId="38" priority="33" operator="lessThan">
      <formula>0.8</formula>
    </cfRule>
    <cfRule type="cellIs" dxfId="37" priority="32" operator="between">
      <formula>0.8</formula>
      <formula>0.9</formula>
    </cfRule>
    <cfRule type="cellIs" dxfId="36" priority="31" operator="greaterThanOrEqual">
      <formula>0.9</formula>
    </cfRule>
  </conditionalFormatting>
  <conditionalFormatting sqref="S13:S20">
    <cfRule type="cellIs" dxfId="35" priority="50" operator="between">
      <formula>0.8</formula>
      <formula>0.9</formula>
    </cfRule>
    <cfRule type="cellIs" dxfId="34" priority="49" operator="greaterThanOrEqual">
      <formula>0.9</formula>
    </cfRule>
    <cfRule type="cellIs" dxfId="33" priority="51" operator="lessThan">
      <formula>0.8</formula>
    </cfRule>
  </conditionalFormatting>
  <conditionalFormatting sqref="S22:S28">
    <cfRule type="cellIs" dxfId="32" priority="69" operator="lessThan">
      <formula>0.8</formula>
    </cfRule>
    <cfRule type="cellIs" dxfId="31" priority="68" operator="between">
      <formula>0.8</formula>
      <formula>0.9</formula>
    </cfRule>
    <cfRule type="cellIs" dxfId="30" priority="67" operator="greaterThanOrEqual">
      <formula>0.9</formula>
    </cfRule>
  </conditionalFormatting>
  <conditionalFormatting sqref="S30:S32">
    <cfRule type="cellIs" dxfId="29" priority="85" operator="greaterThanOrEqual">
      <formula>0.9</formula>
    </cfRule>
    <cfRule type="cellIs" dxfId="28" priority="86" operator="between">
      <formula>0.8</formula>
      <formula>0.9</formula>
    </cfRule>
    <cfRule type="cellIs" dxfId="27" priority="87" operator="lessThan">
      <formula>0.8</formula>
    </cfRule>
  </conditionalFormatting>
  <conditionalFormatting sqref="S34:S39">
    <cfRule type="cellIs" dxfId="26" priority="105" operator="lessThan">
      <formula>0.8</formula>
    </cfRule>
    <cfRule type="cellIs" dxfId="25" priority="104" operator="between">
      <formula>0.8</formula>
      <formula>0.9</formula>
    </cfRule>
    <cfRule type="cellIs" dxfId="24" priority="103" operator="greaterThanOrEqual">
      <formula>0.9</formula>
    </cfRule>
  </conditionalFormatting>
  <conditionalFormatting sqref="S41">
    <cfRule type="cellIs" dxfId="23" priority="139" operator="greaterThanOrEqual">
      <formula>0.9</formula>
    </cfRule>
    <cfRule type="cellIs" dxfId="22" priority="140" operator="between">
      <formula>0.8</formula>
      <formula>0.9</formula>
    </cfRule>
    <cfRule type="cellIs" dxfId="21" priority="141" operator="lessThan">
      <formula>0.8</formula>
    </cfRule>
  </conditionalFormatting>
  <conditionalFormatting sqref="V6:V7">
    <cfRule type="cellIs" dxfId="20" priority="18" operator="lessThan">
      <formula>0.8</formula>
    </cfRule>
    <cfRule type="cellIs" dxfId="19" priority="17" operator="between">
      <formula>0.8</formula>
      <formula>0.9</formula>
    </cfRule>
    <cfRule type="cellIs" dxfId="18" priority="16" operator="greaterThanOrEqual">
      <formula>0.9</formula>
    </cfRule>
  </conditionalFormatting>
  <conditionalFormatting sqref="V9:V11">
    <cfRule type="cellIs" dxfId="17" priority="35" operator="between">
      <formula>0.8</formula>
      <formula>0.9</formula>
    </cfRule>
    <cfRule type="cellIs" dxfId="16" priority="36" operator="lessThan">
      <formula>0.8</formula>
    </cfRule>
    <cfRule type="cellIs" dxfId="15" priority="34" operator="greaterThanOrEqual">
      <formula>0.9</formula>
    </cfRule>
  </conditionalFormatting>
  <conditionalFormatting sqref="V13:V20">
    <cfRule type="cellIs" dxfId="14" priority="54" operator="lessThan">
      <formula>0.8</formula>
    </cfRule>
    <cfRule type="cellIs" dxfId="13" priority="53" operator="between">
      <formula>0.8</formula>
      <formula>0.9</formula>
    </cfRule>
    <cfRule type="cellIs" dxfId="12" priority="52" operator="greaterThanOrEqual">
      <formula>0.9</formula>
    </cfRule>
  </conditionalFormatting>
  <conditionalFormatting sqref="V22:V28">
    <cfRule type="cellIs" dxfId="11" priority="70" operator="greaterThanOrEqual">
      <formula>0.9</formula>
    </cfRule>
    <cfRule type="cellIs" dxfId="10" priority="71" operator="between">
      <formula>0.8</formula>
      <formula>0.9</formula>
    </cfRule>
    <cfRule type="cellIs" dxfId="9" priority="72" operator="lessThan">
      <formula>0.8</formula>
    </cfRule>
  </conditionalFormatting>
  <conditionalFormatting sqref="V30:V32">
    <cfRule type="cellIs" dxfId="8" priority="90" operator="lessThan">
      <formula>0.8</formula>
    </cfRule>
    <cfRule type="cellIs" dxfId="7" priority="89" operator="between">
      <formula>0.8</formula>
      <formula>0.9</formula>
    </cfRule>
    <cfRule type="cellIs" dxfId="6" priority="88" operator="greaterThanOrEqual">
      <formula>0.9</formula>
    </cfRule>
  </conditionalFormatting>
  <conditionalFormatting sqref="V34:V39">
    <cfRule type="cellIs" dxfId="5" priority="106" operator="greaterThanOrEqual">
      <formula>0.9</formula>
    </cfRule>
    <cfRule type="cellIs" dxfId="4" priority="107" operator="between">
      <formula>0.8</formula>
      <formula>0.9</formula>
    </cfRule>
    <cfRule type="cellIs" dxfId="3" priority="108" operator="lessThan">
      <formula>0.8</formula>
    </cfRule>
  </conditionalFormatting>
  <conditionalFormatting sqref="V41">
    <cfRule type="cellIs" dxfId="2" priority="142" operator="greaterThanOrEqual">
      <formula>0.9</formula>
    </cfRule>
    <cfRule type="cellIs" dxfId="1" priority="143" operator="between">
      <formula>0.8</formula>
      <formula>0.9</formula>
    </cfRule>
    <cfRule type="cellIs" dxfId="0" priority="144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张宇1000题</vt:lpstr>
      <vt:lpstr>武忠祥高数严选题</vt:lpstr>
      <vt:lpstr>李林880专题</vt:lpstr>
      <vt:lpstr>王道数据结构</vt:lpstr>
      <vt:lpstr>王道计组</vt:lpstr>
      <vt:lpstr>王道操作系统</vt:lpstr>
      <vt:lpstr>王道计网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2026-06-15T09:35:39Z</dcterms:modified>
</cp:coreProperties>
</file>