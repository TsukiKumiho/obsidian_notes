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681ED759-4D1C-4900-BA70-73B82D2DBE58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<sst xmlns="http://schemas.openxmlformats.org/spreadsheetml/2006/main" count="567" uniqueCount="306">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</sst>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7" fillId="3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0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0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0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P7" sqref="P7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7"/>
      <c r="E3" s="58"/>
      <c r="F3" s="66" t="s">
        <v>305</v>
      </c>
      <c r="G3" s="57"/>
      <c r="H3" s="58"/>
      <c r="I3" s="65" t="s">
        <v>116</v>
      </c>
      <c r="J3" s="57"/>
      <c r="K3" s="58"/>
      <c r="L3" s="64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35</v>
      </c>
      <c r="D14" s="37">
        <f>SUM(D5:D13)</f>
        <v>28</v>
      </c>
      <c r="E14" s="37">
        <f t="shared" si="0"/>
        <v>0.8</v>
      </c>
      <c r="F14" s="37">
        <f>SUM(F5:F13)</f>
        <v>19</v>
      </c>
      <c r="G14" s="37">
        <f>SUM(G5:G13)</f>
        <v>18</v>
      </c>
      <c r="H14" s="37">
        <f t="shared" si="1"/>
        <v>0.94736842105263153</v>
      </c>
      <c r="I14" s="37">
        <f>SUM(I5:I13)</f>
        <v>49</v>
      </c>
      <c r="J14" s="37">
        <f>SUM(J5:J13)</f>
        <v>36</v>
      </c>
      <c r="K14" s="37">
        <f t="shared" si="2"/>
        <v>0.73469387755102045</v>
      </c>
      <c r="L14" s="37">
        <f>SUM(L5:L13)</f>
        <v>103</v>
      </c>
      <c r="M14" s="37">
        <f>SUM(M5:M13)</f>
        <v>82</v>
      </c>
      <c r="N14" s="37">
        <f t="shared" si="5"/>
        <v>0.79611650485436891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35</v>
      </c>
      <c r="D16" s="40">
        <f>D14</f>
        <v>28</v>
      </c>
      <c r="E16" s="40">
        <f>IF(AND(C16&lt;&gt;"",D16&lt;&gt;""),D16/C16,"")</f>
        <v>0.8</v>
      </c>
      <c r="F16" s="40">
        <f>F14</f>
        <v>19</v>
      </c>
      <c r="G16" s="40">
        <f>G14</f>
        <v>18</v>
      </c>
      <c r="H16" s="40">
        <f>IF(AND(F16&lt;&gt;"",G16&lt;&gt;""),G16/F16,"")</f>
        <v>0.94736842105263153</v>
      </c>
      <c r="I16" s="40">
        <f>I14</f>
        <v>49</v>
      </c>
      <c r="J16" s="40">
        <f>J14</f>
        <v>36</v>
      </c>
      <c r="K16" s="40">
        <f>IF(AND(I16&lt;&gt;"",J16&lt;&gt;""),J16/I16,"")</f>
        <v>0.73469387755102045</v>
      </c>
      <c r="L16" s="40">
        <f>L14</f>
        <v>103</v>
      </c>
      <c r="M16" s="40">
        <f>M14</f>
        <v>82</v>
      </c>
      <c r="N16" s="40">
        <f>IF(AND(L16&lt;&gt;"",M16&lt;&gt;""),M16/L16,"")</f>
        <v>0.79611650485436891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abSelected="1" topLeftCell="A35" zoomScale="86" workbookViewId="0">
      <selection activeCell="G48" sqref="G48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72" t="s">
        <v>126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67" t="s">
        <v>52</v>
      </c>
      <c r="D3" s="57"/>
      <c r="E3" s="58"/>
      <c r="F3" s="69" t="s">
        <v>106</v>
      </c>
      <c r="G3" s="57"/>
      <c r="H3" s="58"/>
      <c r="I3" s="71" t="s">
        <v>47</v>
      </c>
      <c r="J3" s="57"/>
      <c r="K3" s="58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49</v>
      </c>
      <c r="D15" s="7">
        <f>SUM(D6:D14)</f>
        <v>43</v>
      </c>
      <c r="E15" s="7">
        <f t="shared" si="0"/>
        <v>0.87755102040816324</v>
      </c>
      <c r="F15" s="7">
        <f>SUM(F6:F14)</f>
        <v>57</v>
      </c>
      <c r="G15" s="7">
        <f>SUM(G6:G14)</f>
        <v>51</v>
      </c>
      <c r="H15" s="7">
        <f t="shared" si="1"/>
        <v>0.89473684210526316</v>
      </c>
      <c r="I15" s="7">
        <f>SUM(I6:I14)</f>
        <v>106</v>
      </c>
      <c r="J15" s="7">
        <f>SUM(J6:J14)</f>
        <v>94</v>
      </c>
      <c r="K15" s="7">
        <f t="shared" si="4"/>
        <v>0.8867924528301887</v>
      </c>
    </row>
    <row r="16" spans="1:11" ht="22" customHeight="1" x14ac:dyDescent="0.25"/>
    <row r="17" spans="1:11" ht="22" customHeight="1" x14ac:dyDescent="0.25">
      <c r="A17" s="68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49</v>
      </c>
      <c r="D36" s="10">
        <f>D15+D24+D35</f>
        <v>43</v>
      </c>
      <c r="E36" s="10">
        <f t="shared" si="9"/>
        <v>0.87755102040816324</v>
      </c>
      <c r="F36" s="10">
        <f>F15+F24+F35</f>
        <v>57</v>
      </c>
      <c r="G36" s="10">
        <f>G15+G24+G35</f>
        <v>51</v>
      </c>
      <c r="H36" s="10">
        <f t="shared" si="10"/>
        <v>0.89473684210526316</v>
      </c>
      <c r="I36" s="10">
        <f>I15+I24+I35</f>
        <v>106</v>
      </c>
      <c r="J36" s="10">
        <f>J15+J24+J35</f>
        <v>94</v>
      </c>
      <c r="K36" s="10">
        <f t="shared" si="12"/>
        <v>0.8867924528301887</v>
      </c>
    </row>
    <row r="39" spans="1:14" ht="30" customHeight="1" x14ac:dyDescent="0.25">
      <c r="A39" s="70" t="s">
        <v>155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67" t="s">
        <v>52</v>
      </c>
      <c r="D41" s="57"/>
      <c r="E41" s="58"/>
      <c r="F41" s="69" t="s">
        <v>106</v>
      </c>
      <c r="G41" s="57"/>
      <c r="H41" s="58"/>
      <c r="I41" s="73" t="s">
        <v>156</v>
      </c>
      <c r="J41" s="57"/>
      <c r="K41" s="58"/>
      <c r="L41" s="71" t="s">
        <v>47</v>
      </c>
      <c r="M41" s="57"/>
      <c r="N41" s="58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4" ht="22" customHeight="1" x14ac:dyDescent="0.25">
      <c r="A46" s="3" t="s">
        <v>130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24</v>
      </c>
      <c r="D53" s="7">
        <f>SUM(D44:D52)</f>
        <v>17</v>
      </c>
      <c r="E53" s="7">
        <f t="shared" si="14"/>
        <v>0.70833333333333337</v>
      </c>
      <c r="F53" s="7">
        <f>SUM(F44:F52)</f>
        <v>28</v>
      </c>
      <c r="G53" s="7">
        <f>SUM(G44:G52)</f>
        <v>17</v>
      </c>
      <c r="H53" s="7">
        <f t="shared" si="15"/>
        <v>0.6071428571428571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57</v>
      </c>
      <c r="M53" s="7">
        <f>SUM(M44:M52)</f>
        <v>35</v>
      </c>
      <c r="N53" s="7">
        <f t="shared" si="19"/>
        <v>0.61403508771929827</v>
      </c>
    </row>
    <row r="54" spans="1:14" ht="22" customHeight="1" x14ac:dyDescent="0.25"/>
    <row r="55" spans="1:14" ht="22" customHeight="1" x14ac:dyDescent="0.25">
      <c r="A55" s="68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24</v>
      </c>
      <c r="D74" s="10">
        <f>D53+D62+D73</f>
        <v>17</v>
      </c>
      <c r="E74" s="10">
        <f t="shared" si="27"/>
        <v>0.70833333333333337</v>
      </c>
      <c r="F74" s="10">
        <f>F53+F62+F73</f>
        <v>28</v>
      </c>
      <c r="G74" s="10">
        <f>G53+G62+G73</f>
        <v>17</v>
      </c>
      <c r="H74" s="10">
        <f t="shared" si="28"/>
        <v>0.6071428571428571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57</v>
      </c>
      <c r="M74" s="10">
        <f>M53+M62+M73</f>
        <v>35</v>
      </c>
      <c r="N74" s="10">
        <f t="shared" si="31"/>
        <v>0.61403508771929827</v>
      </c>
    </row>
    <row r="77" spans="1:14" ht="30" customHeight="1" x14ac:dyDescent="0.25">
      <c r="A77" s="70" t="s">
        <v>157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67" t="s">
        <v>158</v>
      </c>
      <c r="D79" s="57"/>
      <c r="E79" s="58"/>
      <c r="F79" s="69" t="s">
        <v>155</v>
      </c>
      <c r="G79" s="57"/>
      <c r="H79" s="58"/>
      <c r="I79" s="71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106</v>
      </c>
      <c r="D91" s="7">
        <f>SUM(D82:D90)</f>
        <v>94</v>
      </c>
      <c r="E91" s="7">
        <f t="shared" si="35"/>
        <v>0.8867924528301887</v>
      </c>
      <c r="F91" s="7">
        <f>SUM(F82:F90)</f>
        <v>57</v>
      </c>
      <c r="G91" s="7">
        <f>SUM(G82:G90)</f>
        <v>35</v>
      </c>
      <c r="H91" s="7">
        <f t="shared" si="38"/>
        <v>0.61403508771929827</v>
      </c>
      <c r="I91" s="7">
        <f>SUM(I82:I90)</f>
        <v>163</v>
      </c>
      <c r="J91" s="7">
        <f>SUM(J82:J90)</f>
        <v>129</v>
      </c>
      <c r="K91" s="7">
        <f t="shared" si="41"/>
        <v>0.79141104294478526</v>
      </c>
    </row>
    <row r="92" spans="1:11" ht="22" customHeight="1" x14ac:dyDescent="0.25"/>
    <row r="93" spans="1:11" ht="22" customHeight="1" x14ac:dyDescent="0.25">
      <c r="A93" s="68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106</v>
      </c>
      <c r="D112" s="10">
        <f>D91+D100+D111</f>
        <v>94</v>
      </c>
      <c r="E112" s="10">
        <f t="shared" si="51"/>
        <v>0.8867924528301887</v>
      </c>
      <c r="F112" s="10">
        <f>F91+F100+F111</f>
        <v>57</v>
      </c>
      <c r="G112" s="10">
        <f>G91+G100+G111</f>
        <v>35</v>
      </c>
      <c r="H112" s="10">
        <f t="shared" si="53"/>
        <v>0.61403508771929827</v>
      </c>
      <c r="I112" s="10">
        <f>I91+I100+I111</f>
        <v>163</v>
      </c>
      <c r="J112" s="10">
        <f>J91+J100+J111</f>
        <v>129</v>
      </c>
      <c r="K112" s="10">
        <f t="shared" si="55"/>
        <v>0.79141104294478526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L34" sqref="L34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54" t="s">
        <v>159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5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2" t="s">
        <v>211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4" t="s">
        <v>247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5" zoomScale="86" workbookViewId="0">
      <selection activeCell="G31" sqref="G31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54" t="s">
        <v>270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411</v>
      </c>
      <c r="D39" s="18">
        <f>SUM(D5:D38)</f>
        <v>332</v>
      </c>
      <c r="E39" s="18">
        <f t="shared" si="20"/>
        <v>0.80778588807785889</v>
      </c>
      <c r="F39" s="18">
        <f>SUM(F5:F38)</f>
        <v>95</v>
      </c>
      <c r="G39" s="18">
        <f>SUM(G5:G38)</f>
        <v>77</v>
      </c>
      <c r="H39" s="18">
        <f t="shared" si="21"/>
        <v>0.81052631578947365</v>
      </c>
      <c r="I39" s="18">
        <f>SUM(I5:I38)</f>
        <v>316</v>
      </c>
      <c r="J39" s="18">
        <f>SUM(J5:J38)</f>
        <v>255</v>
      </c>
      <c r="K39" s="18">
        <f t="shared" si="23"/>
        <v>0.80696202531645567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411</v>
      </c>
      <c r="D41" s="21">
        <f>D39+O39</f>
        <v>332</v>
      </c>
      <c r="E41" s="21">
        <f>IF(AND(C41&lt;&gt;"",D41&lt;&gt;""),D41/C41,"")</f>
        <v>0.80778588807785889</v>
      </c>
      <c r="F41" s="21">
        <f>F39+Q39</f>
        <v>95</v>
      </c>
      <c r="G41" s="21">
        <f>G39+R39</f>
        <v>77</v>
      </c>
      <c r="H41" s="21">
        <f>IF(AND(F41&lt;&gt;"",G41&lt;&gt;""),G41/F41,"")</f>
        <v>0.81052631578947365</v>
      </c>
      <c r="I41" s="21">
        <f>I39+T39</f>
        <v>316</v>
      </c>
      <c r="J41" s="21">
        <f>J39+U39</f>
        <v>255</v>
      </c>
      <c r="K41" s="21">
        <f>IF(AND(I41&lt;&gt;"",J41&lt;&gt;""),J41/I41,"")</f>
        <v>0.80696202531645567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K11" sqref="K11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76" t="s">
        <v>1</v>
      </c>
      <c r="C3" s="55"/>
      <c r="D3" s="55"/>
      <c r="E3" s="55"/>
      <c r="F3" s="55"/>
      <c r="G3" s="76" t="s">
        <v>2</v>
      </c>
      <c r="H3" s="55"/>
      <c r="I3" s="55"/>
      <c r="J3" s="55"/>
      <c r="K3" s="55"/>
      <c r="L3" s="76" t="s">
        <v>3</v>
      </c>
      <c r="M3" s="55"/>
      <c r="N3" s="55"/>
      <c r="O3" s="55"/>
      <c r="P3" s="55"/>
      <c r="Q3" s="76" t="s">
        <v>4</v>
      </c>
      <c r="R3" s="55"/>
      <c r="S3" s="55"/>
      <c r="T3" s="55"/>
      <c r="U3" s="55"/>
      <c r="V3" s="75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9</v>
      </c>
      <c r="X10" s="48">
        <f t="shared" si="6"/>
        <v>0.45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4</v>
      </c>
      <c r="F21" s="46">
        <f t="shared" si="0"/>
        <v>0.05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12</v>
      </c>
      <c r="P21" s="46">
        <f t="shared" si="2"/>
        <v>0.15</v>
      </c>
      <c r="Q21" s="50"/>
      <c r="R21" s="50"/>
      <c r="S21" s="46">
        <f>SUM(S5:S20)</f>
        <v>80</v>
      </c>
      <c r="T21" s="46">
        <f>SUM(T5:T20)</f>
        <v>4</v>
      </c>
      <c r="U21" s="46">
        <f t="shared" si="3"/>
        <v>0.05</v>
      </c>
      <c r="V21" s="46">
        <f>SUM(V5:V20)</f>
        <v>320</v>
      </c>
      <c r="W21" s="46">
        <f>SUM(W5:W20)</f>
        <v>29</v>
      </c>
      <c r="X21" s="46">
        <f t="shared" si="6"/>
        <v>9.0624999999999997E-2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4</v>
      </c>
      <c r="F23" s="53">
        <f>IF(AND(D23&lt;&gt;"",E23&lt;&gt;""),E23/D23,"")</f>
        <v>0.05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12</v>
      </c>
      <c r="P23" s="53">
        <f>IF(AND(N23&lt;&gt;"",O23&lt;&gt;""),O23/N23,"")</f>
        <v>0.15</v>
      </c>
      <c r="Q23" s="52"/>
      <c r="R23" s="52"/>
      <c r="S23" s="53">
        <f>S21</f>
        <v>80</v>
      </c>
      <c r="T23" s="53">
        <f>T21</f>
        <v>4</v>
      </c>
      <c r="U23" s="53">
        <f>IF(AND(S23&lt;&gt;"",T23&lt;&gt;""),T23/S23,"")</f>
        <v>0.05</v>
      </c>
      <c r="V23" s="53">
        <f>V21</f>
        <v>320</v>
      </c>
      <c r="W23" s="53">
        <f>W21</f>
        <v>29</v>
      </c>
      <c r="X23" s="53">
        <f>IF(AND(V23&lt;&gt;"",W23&lt;&gt;""),W23/V23,"")</f>
        <v>9.0624999999999997E-2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2026-06-30T10:58:26Z</dcterms:modified>
</cp:coreProperties>
</file>