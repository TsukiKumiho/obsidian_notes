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F2CCF2A0-7D9F-43C9-82BE-44ABA3124B23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张宇1000题" sheetId="1" r:id="rId1"/>
    <sheet name="王道操作系统" sheetId="2" r:id="rId2"/>
    <sheet name="王道计组" sheetId="3" r:id="rId3"/>
    <sheet name="王道数据结构" sheetId="4" r:id="rId4"/>
    <sheet name="王道计网" sheetId="5" r:id="rId5"/>
    <sheet name="李林880专题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5" l="1"/>
  <c r="G39" i="5"/>
  <c r="I39" i="5" s="1"/>
  <c r="D39" i="5"/>
  <c r="D41" i="5" s="1"/>
  <c r="C39" i="5"/>
  <c r="I38" i="5"/>
  <c r="E38" i="5"/>
  <c r="I37" i="5"/>
  <c r="E37" i="5"/>
  <c r="I36" i="5"/>
  <c r="E36" i="5"/>
  <c r="I35" i="5"/>
  <c r="E35" i="5"/>
  <c r="I34" i="5"/>
  <c r="E34" i="5"/>
  <c r="I32" i="5"/>
  <c r="E32" i="5"/>
  <c r="I31" i="5"/>
  <c r="E31" i="5"/>
  <c r="I30" i="5"/>
  <c r="E30" i="5"/>
  <c r="I28" i="5"/>
  <c r="E28" i="5"/>
  <c r="I27" i="5"/>
  <c r="E27" i="5"/>
  <c r="I26" i="5"/>
  <c r="E26" i="5"/>
  <c r="I25" i="5"/>
  <c r="E25" i="5"/>
  <c r="I24" i="5"/>
  <c r="E24" i="5"/>
  <c r="I23" i="5"/>
  <c r="E23" i="5"/>
  <c r="I22" i="5"/>
  <c r="E22" i="5"/>
  <c r="I20" i="5"/>
  <c r="E20" i="5"/>
  <c r="I19" i="5"/>
  <c r="E19" i="5"/>
  <c r="I18" i="5"/>
  <c r="E18" i="5"/>
  <c r="I17" i="5"/>
  <c r="E17" i="5"/>
  <c r="I16" i="5"/>
  <c r="E16" i="5"/>
  <c r="I15" i="5"/>
  <c r="E15" i="5"/>
  <c r="I14" i="5"/>
  <c r="E14" i="5"/>
  <c r="I13" i="5"/>
  <c r="E13" i="5"/>
  <c r="I11" i="5"/>
  <c r="E11" i="5"/>
  <c r="I10" i="5"/>
  <c r="E10" i="5"/>
  <c r="I9" i="5"/>
  <c r="E9" i="5"/>
  <c r="I7" i="5"/>
  <c r="E7" i="5"/>
  <c r="I6" i="5"/>
  <c r="E6" i="5"/>
  <c r="H45" i="4"/>
  <c r="G45" i="4"/>
  <c r="I45" i="4" s="1"/>
  <c r="D45" i="4"/>
  <c r="C45" i="4"/>
  <c r="I44" i="4"/>
  <c r="E44" i="4"/>
  <c r="I43" i="4"/>
  <c r="E43" i="4"/>
  <c r="I42" i="4"/>
  <c r="E42" i="4"/>
  <c r="I41" i="4"/>
  <c r="E41" i="4"/>
  <c r="I40" i="4"/>
  <c r="E40" i="4"/>
  <c r="I39" i="4"/>
  <c r="E39" i="4"/>
  <c r="I38" i="4"/>
  <c r="E38" i="4"/>
  <c r="I36" i="4"/>
  <c r="E36" i="4"/>
  <c r="I35" i="4"/>
  <c r="E35" i="4"/>
  <c r="I34" i="4"/>
  <c r="E34" i="4"/>
  <c r="I33" i="4"/>
  <c r="E33" i="4"/>
  <c r="I32" i="4"/>
  <c r="E32" i="4"/>
  <c r="I30" i="4"/>
  <c r="E30" i="4"/>
  <c r="I29" i="4"/>
  <c r="E29" i="4"/>
  <c r="I28" i="4"/>
  <c r="E28" i="4"/>
  <c r="I27" i="4"/>
  <c r="E27" i="4"/>
  <c r="I25" i="4"/>
  <c r="E25" i="4"/>
  <c r="I24" i="4"/>
  <c r="E24" i="4"/>
  <c r="I23" i="4"/>
  <c r="E23" i="4"/>
  <c r="I22" i="4"/>
  <c r="E22" i="4"/>
  <c r="I21" i="4"/>
  <c r="E21" i="4"/>
  <c r="I19" i="4"/>
  <c r="E19" i="4"/>
  <c r="I18" i="4"/>
  <c r="E18" i="4"/>
  <c r="I16" i="4"/>
  <c r="E16" i="4"/>
  <c r="I15" i="4"/>
  <c r="E15" i="4"/>
  <c r="I14" i="4"/>
  <c r="E14" i="4"/>
  <c r="I13" i="4"/>
  <c r="E13" i="4"/>
  <c r="I11" i="4"/>
  <c r="E11" i="4"/>
  <c r="I10" i="4"/>
  <c r="E10" i="4"/>
  <c r="I9" i="4"/>
  <c r="E9" i="4"/>
  <c r="I7" i="4"/>
  <c r="E7" i="4"/>
  <c r="I6" i="4"/>
  <c r="E6" i="4"/>
  <c r="H40" i="3"/>
  <c r="G40" i="3"/>
  <c r="I40" i="3" s="1"/>
  <c r="D40" i="3"/>
  <c r="C40" i="3"/>
  <c r="I39" i="3"/>
  <c r="E39" i="3"/>
  <c r="I38" i="3"/>
  <c r="E38" i="3"/>
  <c r="I37" i="3"/>
  <c r="E37" i="3"/>
  <c r="I35" i="3"/>
  <c r="E35" i="3"/>
  <c r="I34" i="3"/>
  <c r="E34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4" i="3"/>
  <c r="E24" i="3"/>
  <c r="I23" i="3"/>
  <c r="E23" i="3"/>
  <c r="I22" i="3"/>
  <c r="E22" i="3"/>
  <c r="I21" i="3"/>
  <c r="E21" i="3"/>
  <c r="I19" i="3"/>
  <c r="E19" i="3"/>
  <c r="I18" i="3"/>
  <c r="E18" i="3"/>
  <c r="I17" i="3"/>
  <c r="E17" i="3"/>
  <c r="I16" i="3"/>
  <c r="E16" i="3"/>
  <c r="I15" i="3"/>
  <c r="E15" i="3"/>
  <c r="I14" i="3"/>
  <c r="E14" i="3"/>
  <c r="I12" i="3"/>
  <c r="E12" i="3"/>
  <c r="I11" i="3"/>
  <c r="E11" i="3"/>
  <c r="I10" i="3"/>
  <c r="E10" i="3"/>
  <c r="I8" i="3"/>
  <c r="E8" i="3"/>
  <c r="I7" i="3"/>
  <c r="E7" i="3"/>
  <c r="I6" i="3"/>
  <c r="E6" i="3"/>
  <c r="H28" i="2"/>
  <c r="G28" i="2"/>
  <c r="I28" i="2" s="1"/>
  <c r="D28" i="2"/>
  <c r="C28" i="2"/>
  <c r="I27" i="2"/>
  <c r="E27" i="2"/>
  <c r="I26" i="2"/>
  <c r="E26" i="2"/>
  <c r="I25" i="2"/>
  <c r="E25" i="2"/>
  <c r="I23" i="2"/>
  <c r="E23" i="2"/>
  <c r="I22" i="2"/>
  <c r="E22" i="2"/>
  <c r="I21" i="2"/>
  <c r="E21" i="2"/>
  <c r="I19" i="2"/>
  <c r="E19" i="2"/>
  <c r="I18" i="2"/>
  <c r="E18" i="2"/>
  <c r="I16" i="2"/>
  <c r="E16" i="2"/>
  <c r="I15" i="2"/>
  <c r="E15" i="2"/>
  <c r="I14" i="2"/>
  <c r="E14" i="2"/>
  <c r="I13" i="2"/>
  <c r="E13" i="2"/>
  <c r="I11" i="2"/>
  <c r="E11" i="2"/>
  <c r="I10" i="2"/>
  <c r="E10" i="2"/>
  <c r="I9" i="2"/>
  <c r="E9" i="2"/>
  <c r="I8" i="2"/>
  <c r="E8" i="2"/>
  <c r="I7" i="2"/>
  <c r="E7" i="2"/>
  <c r="I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B82" i="6"/>
  <c r="I73" i="6"/>
  <c r="H73" i="6"/>
  <c r="F73" i="6"/>
  <c r="E73" i="6"/>
  <c r="C73" i="6"/>
  <c r="B73" i="6"/>
  <c r="L72" i="6"/>
  <c r="F110" i="6" s="1"/>
  <c r="K72" i="6"/>
  <c r="M72" i="6" s="1"/>
  <c r="J72" i="6"/>
  <c r="G72" i="6"/>
  <c r="D72" i="6"/>
  <c r="L71" i="6"/>
  <c r="F109" i="6" s="1"/>
  <c r="K71" i="6"/>
  <c r="M71" i="6" s="1"/>
  <c r="J71" i="6"/>
  <c r="G71" i="6"/>
  <c r="D71" i="6"/>
  <c r="L70" i="6"/>
  <c r="F108" i="6" s="1"/>
  <c r="K70" i="6"/>
  <c r="J70" i="6"/>
  <c r="G70" i="6"/>
  <c r="D70" i="6"/>
  <c r="L69" i="6"/>
  <c r="F107" i="6" s="1"/>
  <c r="K69" i="6"/>
  <c r="E107" i="6" s="1"/>
  <c r="J69" i="6"/>
  <c r="G69" i="6"/>
  <c r="D69" i="6"/>
  <c r="L68" i="6"/>
  <c r="F106" i="6" s="1"/>
  <c r="K68" i="6"/>
  <c r="M68" i="6" s="1"/>
  <c r="J68" i="6"/>
  <c r="G68" i="6"/>
  <c r="D68" i="6"/>
  <c r="L67" i="6"/>
  <c r="K67" i="6"/>
  <c r="E105" i="6" s="1"/>
  <c r="J67" i="6"/>
  <c r="G67" i="6"/>
  <c r="D67" i="6"/>
  <c r="L66" i="6"/>
  <c r="F104" i="6" s="1"/>
  <c r="K66" i="6"/>
  <c r="J66" i="6"/>
  <c r="G66" i="6"/>
  <c r="D66" i="6"/>
  <c r="L65" i="6"/>
  <c r="K65" i="6"/>
  <c r="E103" i="6" s="1"/>
  <c r="J65" i="6"/>
  <c r="G65" i="6"/>
  <c r="D65" i="6"/>
  <c r="I62" i="6"/>
  <c r="H62" i="6"/>
  <c r="J62" i="6" s="1"/>
  <c r="F62" i="6"/>
  <c r="E62" i="6"/>
  <c r="G62" i="6" s="1"/>
  <c r="C62" i="6"/>
  <c r="B62" i="6"/>
  <c r="D62" i="6" s="1"/>
  <c r="L61" i="6"/>
  <c r="F99" i="6" s="1"/>
  <c r="K61" i="6"/>
  <c r="E99" i="6" s="1"/>
  <c r="J61" i="6"/>
  <c r="G61" i="6"/>
  <c r="D61" i="6"/>
  <c r="L60" i="6"/>
  <c r="F98" i="6" s="1"/>
  <c r="K60" i="6"/>
  <c r="M60" i="6" s="1"/>
  <c r="J60" i="6"/>
  <c r="G60" i="6"/>
  <c r="D60" i="6"/>
  <c r="L59" i="6"/>
  <c r="F97" i="6" s="1"/>
  <c r="K59" i="6"/>
  <c r="J59" i="6"/>
  <c r="G59" i="6"/>
  <c r="D59" i="6"/>
  <c r="L58" i="6"/>
  <c r="F96" i="6" s="1"/>
  <c r="K58" i="6"/>
  <c r="E96" i="6" s="1"/>
  <c r="J58" i="6"/>
  <c r="G58" i="6"/>
  <c r="D58" i="6"/>
  <c r="L57" i="6"/>
  <c r="F95" i="6" s="1"/>
  <c r="K57" i="6"/>
  <c r="J57" i="6"/>
  <c r="G57" i="6"/>
  <c r="D57" i="6"/>
  <c r="L56" i="6"/>
  <c r="K56" i="6"/>
  <c r="E94" i="6" s="1"/>
  <c r="J56" i="6"/>
  <c r="G56" i="6"/>
  <c r="D56" i="6"/>
  <c r="I53" i="6"/>
  <c r="H53" i="6"/>
  <c r="F53" i="6"/>
  <c r="E53" i="6"/>
  <c r="C53" i="6"/>
  <c r="B53" i="6"/>
  <c r="L52" i="6"/>
  <c r="F90" i="6" s="1"/>
  <c r="K52" i="6"/>
  <c r="M52" i="6" s="1"/>
  <c r="J52" i="6"/>
  <c r="G52" i="6"/>
  <c r="D52" i="6"/>
  <c r="L51" i="6"/>
  <c r="F89" i="6" s="1"/>
  <c r="K51" i="6"/>
  <c r="E89" i="6" s="1"/>
  <c r="J51" i="6"/>
  <c r="G51" i="6"/>
  <c r="D51" i="6"/>
  <c r="L50" i="6"/>
  <c r="F88" i="6" s="1"/>
  <c r="K50" i="6"/>
  <c r="E88" i="6" s="1"/>
  <c r="J50" i="6"/>
  <c r="G50" i="6"/>
  <c r="D50" i="6"/>
  <c r="L49" i="6"/>
  <c r="F87" i="6" s="1"/>
  <c r="K49" i="6"/>
  <c r="E87" i="6" s="1"/>
  <c r="J49" i="6"/>
  <c r="G49" i="6"/>
  <c r="D49" i="6"/>
  <c r="L48" i="6"/>
  <c r="F86" i="6" s="1"/>
  <c r="K48" i="6"/>
  <c r="M48" i="6" s="1"/>
  <c r="J48" i="6"/>
  <c r="G48" i="6"/>
  <c r="D48" i="6"/>
  <c r="L47" i="6"/>
  <c r="F85" i="6" s="1"/>
  <c r="K47" i="6"/>
  <c r="E85" i="6" s="1"/>
  <c r="J47" i="6"/>
  <c r="G47" i="6"/>
  <c r="D47" i="6"/>
  <c r="L46" i="6"/>
  <c r="F84" i="6" s="1"/>
  <c r="K46" i="6"/>
  <c r="J46" i="6"/>
  <c r="G46" i="6"/>
  <c r="D46" i="6"/>
  <c r="L45" i="6"/>
  <c r="F83" i="6" s="1"/>
  <c r="K45" i="6"/>
  <c r="J45" i="6"/>
  <c r="G45" i="6"/>
  <c r="D45" i="6"/>
  <c r="L44" i="6"/>
  <c r="F82" i="6" s="1"/>
  <c r="K44" i="6"/>
  <c r="M44" i="6" s="1"/>
  <c r="J44" i="6"/>
  <c r="G44" i="6"/>
  <c r="D44" i="6"/>
  <c r="F35" i="6"/>
  <c r="E35" i="6"/>
  <c r="C35" i="6"/>
  <c r="B35" i="6"/>
  <c r="I34" i="6"/>
  <c r="C110" i="6" s="1"/>
  <c r="H34" i="6"/>
  <c r="B110" i="6" s="1"/>
  <c r="G34" i="6"/>
  <c r="D34" i="6"/>
  <c r="I33" i="6"/>
  <c r="H33" i="6"/>
  <c r="B109" i="6" s="1"/>
  <c r="G33" i="6"/>
  <c r="D33" i="6"/>
  <c r="I32" i="6"/>
  <c r="C108" i="6" s="1"/>
  <c r="H32" i="6"/>
  <c r="B108" i="6" s="1"/>
  <c r="G32" i="6"/>
  <c r="D32" i="6"/>
  <c r="I31" i="6"/>
  <c r="C107" i="6" s="1"/>
  <c r="H31" i="6"/>
  <c r="B107" i="6" s="1"/>
  <c r="G31" i="6"/>
  <c r="D31" i="6"/>
  <c r="I30" i="6"/>
  <c r="C106" i="6" s="1"/>
  <c r="H30" i="6"/>
  <c r="B106" i="6" s="1"/>
  <c r="G30" i="6"/>
  <c r="D30" i="6"/>
  <c r="I29" i="6"/>
  <c r="C105" i="6" s="1"/>
  <c r="H29" i="6"/>
  <c r="B105" i="6" s="1"/>
  <c r="G29" i="6"/>
  <c r="D29" i="6"/>
  <c r="I28" i="6"/>
  <c r="H28" i="6"/>
  <c r="B104" i="6" s="1"/>
  <c r="G28" i="6"/>
  <c r="D28" i="6"/>
  <c r="I27" i="6"/>
  <c r="H27" i="6"/>
  <c r="B103" i="6" s="1"/>
  <c r="G27" i="6"/>
  <c r="D27" i="6"/>
  <c r="F24" i="6"/>
  <c r="E24" i="6"/>
  <c r="C24" i="6"/>
  <c r="B24" i="6"/>
  <c r="I23" i="6"/>
  <c r="C99" i="6" s="1"/>
  <c r="H23" i="6"/>
  <c r="G23" i="6"/>
  <c r="D23" i="6"/>
  <c r="I22" i="6"/>
  <c r="C98" i="6" s="1"/>
  <c r="H22" i="6"/>
  <c r="B98" i="6" s="1"/>
  <c r="G22" i="6"/>
  <c r="D22" i="6"/>
  <c r="I21" i="6"/>
  <c r="C97" i="6" s="1"/>
  <c r="H21" i="6"/>
  <c r="G21" i="6"/>
  <c r="D21" i="6"/>
  <c r="I20" i="6"/>
  <c r="C96" i="6" s="1"/>
  <c r="H20" i="6"/>
  <c r="G20" i="6"/>
  <c r="D20" i="6"/>
  <c r="I19" i="6"/>
  <c r="C95" i="6" s="1"/>
  <c r="H19" i="6"/>
  <c r="G19" i="6"/>
  <c r="D19" i="6"/>
  <c r="I18" i="6"/>
  <c r="C94" i="6" s="1"/>
  <c r="H18" i="6"/>
  <c r="B94" i="6" s="1"/>
  <c r="G18" i="6"/>
  <c r="D18" i="6"/>
  <c r="F15" i="6"/>
  <c r="E15" i="6"/>
  <c r="C15" i="6"/>
  <c r="B15" i="6"/>
  <c r="I14" i="6"/>
  <c r="C90" i="6" s="1"/>
  <c r="H14" i="6"/>
  <c r="B90" i="6" s="1"/>
  <c r="G14" i="6"/>
  <c r="D14" i="6"/>
  <c r="I13" i="6"/>
  <c r="C89" i="6" s="1"/>
  <c r="H13" i="6"/>
  <c r="B89" i="6" s="1"/>
  <c r="G13" i="6"/>
  <c r="D13" i="6"/>
  <c r="I12" i="6"/>
  <c r="C88" i="6" s="1"/>
  <c r="H12" i="6"/>
  <c r="B88" i="6" s="1"/>
  <c r="G12" i="6"/>
  <c r="D12" i="6"/>
  <c r="I11" i="6"/>
  <c r="C87" i="6" s="1"/>
  <c r="H11" i="6"/>
  <c r="B87" i="6" s="1"/>
  <c r="G11" i="6"/>
  <c r="D11" i="6"/>
  <c r="I10" i="6"/>
  <c r="C86" i="6" s="1"/>
  <c r="H10" i="6"/>
  <c r="J10" i="6" s="1"/>
  <c r="G10" i="6"/>
  <c r="D10" i="6"/>
  <c r="I9" i="6"/>
  <c r="C85" i="6" s="1"/>
  <c r="H9" i="6"/>
  <c r="B85" i="6" s="1"/>
  <c r="G9" i="6"/>
  <c r="D9" i="6"/>
  <c r="I8" i="6"/>
  <c r="C84" i="6" s="1"/>
  <c r="H8" i="6"/>
  <c r="B84" i="6" s="1"/>
  <c r="G8" i="6"/>
  <c r="D8" i="6"/>
  <c r="I7" i="6"/>
  <c r="C83" i="6" s="1"/>
  <c r="H7" i="6"/>
  <c r="G7" i="6"/>
  <c r="D7" i="6"/>
  <c r="I6" i="6"/>
  <c r="C82" i="6" s="1"/>
  <c r="H6" i="6"/>
  <c r="G6" i="6"/>
  <c r="D6" i="6"/>
  <c r="I84" i="6" l="1"/>
  <c r="I108" i="6"/>
  <c r="E40" i="3"/>
  <c r="J73" i="6"/>
  <c r="J53" i="6"/>
  <c r="M59" i="6"/>
  <c r="G73" i="6"/>
  <c r="C30" i="2"/>
  <c r="M45" i="6"/>
  <c r="D30" i="2"/>
  <c r="D42" i="3"/>
  <c r="C47" i="4"/>
  <c r="E47" i="4" s="1"/>
  <c r="M46" i="6"/>
  <c r="J21" i="6"/>
  <c r="C41" i="5"/>
  <c r="E41" i="5" s="1"/>
  <c r="D35" i="6"/>
  <c r="I96" i="6"/>
  <c r="M66" i="6"/>
  <c r="M70" i="6"/>
  <c r="G89" i="6"/>
  <c r="I97" i="6"/>
  <c r="E97" i="6"/>
  <c r="G97" i="6" s="1"/>
  <c r="F36" i="6"/>
  <c r="M57" i="6"/>
  <c r="J7" i="6"/>
  <c r="J19" i="6"/>
  <c r="E36" i="6"/>
  <c r="D107" i="6"/>
  <c r="B36" i="6"/>
  <c r="I83" i="6"/>
  <c r="B97" i="6"/>
  <c r="J20" i="6"/>
  <c r="D24" i="6"/>
  <c r="H103" i="6"/>
  <c r="I110" i="6"/>
  <c r="E110" i="6"/>
  <c r="G110" i="6" s="1"/>
  <c r="L73" i="6"/>
  <c r="I95" i="6"/>
  <c r="E109" i="6"/>
  <c r="H109" i="6" s="1"/>
  <c r="I87" i="6"/>
  <c r="D91" i="1"/>
  <c r="L62" i="6"/>
  <c r="B83" i="6"/>
  <c r="D83" i="6" s="1"/>
  <c r="J6" i="6"/>
  <c r="J23" i="6"/>
  <c r="E83" i="6"/>
  <c r="G83" i="6" s="1"/>
  <c r="I86" i="6"/>
  <c r="I106" i="6"/>
  <c r="M69" i="6"/>
  <c r="G107" i="6"/>
  <c r="J12" i="6"/>
  <c r="B95" i="6"/>
  <c r="D95" i="6" s="1"/>
  <c r="G85" i="6"/>
  <c r="E30" i="2"/>
  <c r="J8" i="6"/>
  <c r="G24" i="6"/>
  <c r="I107" i="6"/>
  <c r="M47" i="6"/>
  <c r="E28" i="2"/>
  <c r="L53" i="6"/>
  <c r="G99" i="6"/>
  <c r="J27" i="6"/>
  <c r="J32" i="6"/>
  <c r="E98" i="6"/>
  <c r="G98" i="6" s="1"/>
  <c r="I90" i="6"/>
  <c r="G96" i="6"/>
  <c r="M67" i="6"/>
  <c r="B74" i="6"/>
  <c r="D15" i="6"/>
  <c r="J28" i="6"/>
  <c r="D53" i="6"/>
  <c r="G87" i="6"/>
  <c r="E74" i="6"/>
  <c r="F103" i="6"/>
  <c r="G103" i="6" s="1"/>
  <c r="G15" i="6"/>
  <c r="F74" i="6"/>
  <c r="M49" i="6"/>
  <c r="I74" i="6"/>
  <c r="J11" i="6"/>
  <c r="I99" i="6"/>
  <c r="D73" i="6"/>
  <c r="D47" i="4"/>
  <c r="J33" i="6"/>
  <c r="M58" i="6"/>
  <c r="E86" i="6"/>
  <c r="G86" i="6" s="1"/>
  <c r="I98" i="6"/>
  <c r="H35" i="6"/>
  <c r="G35" i="6"/>
  <c r="M50" i="6"/>
  <c r="C91" i="1"/>
  <c r="H89" i="6"/>
  <c r="D89" i="6"/>
  <c r="D90" i="6"/>
  <c r="D108" i="6"/>
  <c r="I85" i="6"/>
  <c r="D84" i="6"/>
  <c r="H105" i="6"/>
  <c r="D105" i="6"/>
  <c r="D85" i="6"/>
  <c r="H85" i="6"/>
  <c r="B111" i="6"/>
  <c r="D98" i="6"/>
  <c r="I82" i="6"/>
  <c r="C91" i="6"/>
  <c r="H87" i="6"/>
  <c r="D87" i="6"/>
  <c r="D110" i="6"/>
  <c r="D88" i="6"/>
  <c r="G88" i="6"/>
  <c r="I88" i="6"/>
  <c r="F91" i="6"/>
  <c r="D94" i="6"/>
  <c r="H94" i="6"/>
  <c r="C100" i="6"/>
  <c r="I89" i="6"/>
  <c r="H24" i="6"/>
  <c r="G53" i="6"/>
  <c r="M65" i="6"/>
  <c r="C42" i="3"/>
  <c r="E42" i="3" s="1"/>
  <c r="I15" i="6"/>
  <c r="J30" i="6"/>
  <c r="J34" i="6"/>
  <c r="M61" i="6"/>
  <c r="E90" i="6"/>
  <c r="G90" i="6" s="1"/>
  <c r="B99" i="6"/>
  <c r="F105" i="6"/>
  <c r="H107" i="6"/>
  <c r="K53" i="6"/>
  <c r="H15" i="6"/>
  <c r="I24" i="6"/>
  <c r="H74" i="6"/>
  <c r="F94" i="6"/>
  <c r="F100" i="6" s="1"/>
  <c r="C103" i="6"/>
  <c r="D103" i="6" s="1"/>
  <c r="B86" i="6"/>
  <c r="E39" i="1"/>
  <c r="J18" i="6"/>
  <c r="J22" i="6"/>
  <c r="M51" i="6"/>
  <c r="E84" i="6"/>
  <c r="G84" i="6" s="1"/>
  <c r="E108" i="6"/>
  <c r="G108" i="6" s="1"/>
  <c r="H88" i="6"/>
  <c r="J9" i="6"/>
  <c r="D82" i="6"/>
  <c r="D106" i="6"/>
  <c r="E45" i="4"/>
  <c r="J13" i="6"/>
  <c r="E95" i="6"/>
  <c r="G95" i="6" s="1"/>
  <c r="I35" i="6"/>
  <c r="E82" i="6"/>
  <c r="H82" i="6" s="1"/>
  <c r="C104" i="6"/>
  <c r="E106" i="6"/>
  <c r="G106" i="6" s="1"/>
  <c r="J31" i="6"/>
  <c r="J14" i="6"/>
  <c r="E39" i="5"/>
  <c r="M56" i="6"/>
  <c r="K62" i="6"/>
  <c r="K73" i="6"/>
  <c r="E104" i="6"/>
  <c r="G104" i="6" s="1"/>
  <c r="C36" i="6"/>
  <c r="B96" i="6"/>
  <c r="C109" i="6"/>
  <c r="I109" i="6" s="1"/>
  <c r="C74" i="6"/>
  <c r="J29" i="6"/>
  <c r="G36" i="6" l="1"/>
  <c r="E91" i="1"/>
  <c r="H97" i="6"/>
  <c r="J97" i="6" s="1"/>
  <c r="L74" i="6"/>
  <c r="M62" i="6"/>
  <c r="F111" i="6"/>
  <c r="G109" i="6"/>
  <c r="J87" i="6"/>
  <c r="D36" i="6"/>
  <c r="D97" i="6"/>
  <c r="J107" i="6"/>
  <c r="H110" i="6"/>
  <c r="J110" i="6" s="1"/>
  <c r="I36" i="6"/>
  <c r="J24" i="6"/>
  <c r="D74" i="6"/>
  <c r="J35" i="6"/>
  <c r="D109" i="6"/>
  <c r="I105" i="6"/>
  <c r="J105" i="6" s="1"/>
  <c r="H95" i="6"/>
  <c r="J95" i="6" s="1"/>
  <c r="H106" i="6"/>
  <c r="J106" i="6" s="1"/>
  <c r="G94" i="6"/>
  <c r="B91" i="6"/>
  <c r="D91" i="6" s="1"/>
  <c r="M73" i="6"/>
  <c r="H83" i="6"/>
  <c r="J83" i="6" s="1"/>
  <c r="G74" i="6"/>
  <c r="J109" i="6"/>
  <c r="E100" i="6"/>
  <c r="G100" i="6" s="1"/>
  <c r="F112" i="6"/>
  <c r="H98" i="6"/>
  <c r="J98" i="6" s="1"/>
  <c r="J74" i="6"/>
  <c r="G105" i="6"/>
  <c r="J85" i="6"/>
  <c r="H99" i="6"/>
  <c r="J99" i="6" s="1"/>
  <c r="D99" i="6"/>
  <c r="H84" i="6"/>
  <c r="J84" i="6" s="1"/>
  <c r="J82" i="6"/>
  <c r="C111" i="6"/>
  <c r="C112" i="6" s="1"/>
  <c r="I103" i="6"/>
  <c r="H36" i="6"/>
  <c r="J36" i="6" s="1"/>
  <c r="J15" i="6"/>
  <c r="H86" i="6"/>
  <c r="J86" i="6" s="1"/>
  <c r="D86" i="6"/>
  <c r="H90" i="6"/>
  <c r="J90" i="6" s="1"/>
  <c r="I104" i="6"/>
  <c r="D104" i="6"/>
  <c r="G82" i="6"/>
  <c r="E91" i="6"/>
  <c r="I91" i="6"/>
  <c r="M53" i="6"/>
  <c r="K74" i="6"/>
  <c r="M74" i="6" s="1"/>
  <c r="E111" i="6"/>
  <c r="G111" i="6" s="1"/>
  <c r="D96" i="6"/>
  <c r="H96" i="6"/>
  <c r="J96" i="6" s="1"/>
  <c r="H104" i="6"/>
  <c r="I94" i="6"/>
  <c r="I100" i="6" s="1"/>
  <c r="H108" i="6"/>
  <c r="J108" i="6" s="1"/>
  <c r="J88" i="6"/>
  <c r="B100" i="6"/>
  <c r="D100" i="6" s="1"/>
  <c r="D111" i="6"/>
  <c r="J89" i="6"/>
  <c r="G91" i="6" l="1"/>
  <c r="E112" i="6"/>
  <c r="G112" i="6" s="1"/>
  <c r="I111" i="6"/>
  <c r="I112" i="6" s="1"/>
  <c r="J103" i="6"/>
  <c r="J104" i="6"/>
  <c r="H111" i="6"/>
  <c r="J111" i="6" s="1"/>
  <c r="H100" i="6"/>
  <c r="J100" i="6" s="1"/>
  <c r="H91" i="6"/>
  <c r="B112" i="6"/>
  <c r="D112" i="6" s="1"/>
  <c r="J94" i="6"/>
  <c r="J91" i="6" l="1"/>
  <c r="H112" i="6"/>
  <c r="J112" i="6" s="1"/>
</calcChain>
</file>

<file path=xl/sharedStrings.xml><?xml version="1.0" encoding="utf-8"?>
<sst xmlns="http://schemas.openxmlformats.org/spreadsheetml/2006/main" count="411" uniqueCount="244">
  <si>
    <t>李林880专题 （选择&amp;填空）习题正确率记录</t>
  </si>
  <si>
    <t>基础篇</t>
  </si>
  <si>
    <t>综合篇</t>
  </si>
  <si>
    <t>合计</t>
  </si>
  <si>
    <t>章节</t>
  </si>
  <si>
    <t>总题数</t>
  </si>
  <si>
    <t>正确数</t>
  </si>
  <si>
    <t>正确率</t>
  </si>
  <si>
    <t>高等数学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</si>
  <si>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</si>
  <si>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</si>
  <si>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</si>
  <si>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</si>
  <si>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</si>
  <si>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</si>
  <si>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</si>
  <si>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</si>
  <si>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</si>
  <si>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</si>
  <si>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线性代数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</si>
  <si>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</si>
  <si>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</si>
  <si>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</si>
  <si>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</si>
  <si>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</si>
  <si>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</si>
  <si>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</si>
  <si>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概率论与数理统计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</si>
  <si>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</si>
  <si>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</si>
  <si>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</si>
  <si>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</si>
  <si>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</si>
  <si>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</si>
  <si>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</si>
  <si>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</si>
  <si>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</si>
  <si>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</si>
  <si>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</si>
  <si>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</si>
  <si>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</si>
  <si>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</si>
  <si>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总计</t>
  </si>
  <si>
    <t>张宇1000题 习题册正确率记录</t>
  </si>
  <si>
    <t>日期</t>
  </si>
  <si>
    <t>总题目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</si>
  <si>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</si>
  <si>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</si>
  <si>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</si>
  <si>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</si>
  <si>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</si>
  <si>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</si>
  <si>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</si>
  <si>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</si>
  <si>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</si>
  <si>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</si>
  <si>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</si>
  <si>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</si>
  <si>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</si>
  <si>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</si>
  <si>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</si>
  <si>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</si>
  <si>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</si>
  <si>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</si>
  <si>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</si>
  <si>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</si>
  <si>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</si>
  <si>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</si>
  <si>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</si>
  <si>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</si>
  <si>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</si>
  <si>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</si>
  <si>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</si>
  <si>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</si>
  <si>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</si>
  <si>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</si>
  <si>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</si>
  <si>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</si>
  <si>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</si>
  <si>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</si>
  <si>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</si>
  <si>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</si>
  <si>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</si>
  <si>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</si>
  <si>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</si>
  <si>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</si>
  <si>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</si>
  <si>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</si>
  <si>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</si>
  <si>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</si>
  <si>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</si>
  <si>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</si>
  <si>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</si>
  <si>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</si>
  <si>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</si>
  <si>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</si>
  <si>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</si>
  <si>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</si>
  <si>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</si>
  <si>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</si>
  <si>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</si>
  <si>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</si>
  <si>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</si>
  <si>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</si>
  <si>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</si>
  <si>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</si>
  <si>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</si>
  <si>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</si>
  <si>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</si>
  <si>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</si>
  <si>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</si>
  <si>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</si>
  <si>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</si>
  <si>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</si>
  <si>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</si>
  <si>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</si>
  <si>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</si>
  <si>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</si>
  <si>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</si>
  <si>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</si>
  <si>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</si>
  <si>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</si>
  <si>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</si>
  <si>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</si>
  <si>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</si>
  <si>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</si>
  <si>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</si>
  <si>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</si>
  <si>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</si>
  <si>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</si>
  <si>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</si>
  <si>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</si>
  <si>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总  计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</si>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</sst>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3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7" fillId="7" borderId="2" xfId="0" applyFont="1" applyFill="1" applyBorder="1" applyAlignment="1">
      <alignment horizontal="center" vertical="center" wrapText="1"/>
    </xf>
    <xf numFmtId="176" fontId="7" fillId="7" borderId="2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0" fillId="0" borderId="6" xfId="0" applyBorder="1"/>
    <xf numFmtId="0" fontId="11" fillId="2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0" fillId="4" borderId="6" xfId="0" applyFont="1" applyFill="1" applyBorder="1" applyAlignment="1">
      <alignment horizontal="left" vertical="center"/>
    </xf>
    <xf numFmtId="0" fontId="10" fillId="4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left" vertical="center"/>
    </xf>
    <xf numFmtId="0" fontId="10" fillId="6" borderId="6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0" fillId="0" borderId="0" xfId="0"/>
    <xf numFmtId="0" fontId="0" fillId="0" borderId="6" xfId="0" applyBorder="1"/>
    <xf numFmtId="0" fontId="10" fillId="5" borderId="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10" fillId="8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" fillId="0" borderId="0" xfId="0" applyFont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1">
    <cellStyle name="常规" xfId="0" builtinId="0"/>
  </cellStyles>
  <dxfs count="33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workbookViewId="0">
      <selection activeCell="B34" sqref="B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36" t="s">
        <v>43</v>
      </c>
      <c r="B1" s="24"/>
      <c r="C1" s="24"/>
      <c r="D1" s="24"/>
      <c r="E1" s="24"/>
    </row>
    <row r="3" spans="1:5" x14ac:dyDescent="0.25">
      <c r="A3" s="1" t="s">
        <v>4</v>
      </c>
      <c r="B3" s="1" t="s">
        <v>44</v>
      </c>
      <c r="C3" s="1" t="s">
        <v>45</v>
      </c>
      <c r="D3" s="1" t="s">
        <v>6</v>
      </c>
      <c r="E3" s="1" t="s">
        <v>7</v>
      </c>
    </row>
    <row r="4" spans="1:5" ht="15" customHeight="1" x14ac:dyDescent="0.25">
      <c r="A4" s="33" t="s">
        <v>1</v>
      </c>
      <c r="B4" s="34"/>
      <c r="C4" s="34"/>
      <c r="D4" s="34"/>
      <c r="E4" s="35"/>
    </row>
    <row r="5" spans="1:5" x14ac:dyDescent="0.25">
      <c r="A5" s="6" t="s">
        <v>8</v>
      </c>
      <c r="B5" s="4"/>
      <c r="C5" s="4"/>
      <c r="D5" s="4"/>
      <c r="E5" s="4"/>
    </row>
    <row r="6" spans="1:5" ht="15" customHeight="1" x14ac:dyDescent="0.25">
      <c r="A6" s="7" t="s">
        <v>46</v>
      </c>
      <c r="B6" s="2">
        <v>514</v>
      </c>
      <c r="C6" s="11">
        <v>10</v>
      </c>
      <c r="D6" s="11">
        <v>10</v>
      </c>
      <c r="E6" s="12">
        <f t="shared" ref="E6:E24" si="0">IF(AND(C6&lt;&gt;"",D6&lt;&gt;""),D6/C6,"")</f>
        <v>1</v>
      </c>
    </row>
    <row r="7" spans="1:5" ht="15" customHeight="1" x14ac:dyDescent="0.25">
      <c r="A7" s="7" t="s">
        <v>47</v>
      </c>
      <c r="B7" s="2">
        <v>515</v>
      </c>
      <c r="C7" s="11">
        <v>23</v>
      </c>
      <c r="D7" s="11">
        <v>20</v>
      </c>
      <c r="E7" s="12">
        <f t="shared" si="0"/>
        <v>0.86956521739130432</v>
      </c>
    </row>
    <row r="8" spans="1:5" ht="15" customHeight="1" x14ac:dyDescent="0.25">
      <c r="A8" s="7" t="s">
        <v>48</v>
      </c>
      <c r="B8" s="2">
        <v>516</v>
      </c>
      <c r="C8" s="11">
        <v>12</v>
      </c>
      <c r="D8" s="11">
        <v>11</v>
      </c>
      <c r="E8" s="12">
        <f t="shared" si="0"/>
        <v>0.91666666666666663</v>
      </c>
    </row>
    <row r="9" spans="1:5" ht="15" customHeight="1" x14ac:dyDescent="0.25">
      <c r="A9" s="7" t="s">
        <v>49</v>
      </c>
      <c r="B9" s="2">
        <v>517</v>
      </c>
      <c r="C9" s="11">
        <v>15</v>
      </c>
      <c r="D9" s="11">
        <v>12</v>
      </c>
      <c r="E9" s="12">
        <f t="shared" si="0"/>
        <v>0.8</v>
      </c>
    </row>
    <row r="10" spans="1:5" ht="15" customHeight="1" x14ac:dyDescent="0.25">
      <c r="A10" s="7" t="s">
        <v>50</v>
      </c>
      <c r="B10" s="2">
        <v>518</v>
      </c>
      <c r="C10" s="11">
        <v>18</v>
      </c>
      <c r="D10" s="11">
        <v>15</v>
      </c>
      <c r="E10" s="12">
        <f t="shared" si="0"/>
        <v>0.83333333333333337</v>
      </c>
    </row>
    <row r="11" spans="1:5" ht="15" customHeight="1" x14ac:dyDescent="0.25">
      <c r="A11" s="7" t="s">
        <v>51</v>
      </c>
      <c r="B11" s="2">
        <v>520</v>
      </c>
      <c r="C11" s="11">
        <v>24</v>
      </c>
      <c r="D11" s="11">
        <v>18</v>
      </c>
      <c r="E11" s="12">
        <f t="shared" si="0"/>
        <v>0.75</v>
      </c>
    </row>
    <row r="12" spans="1:5" ht="15" customHeight="1" x14ac:dyDescent="0.25">
      <c r="A12" s="7" t="s">
        <v>52</v>
      </c>
      <c r="B12" s="2">
        <v>521</v>
      </c>
      <c r="C12" s="11">
        <v>22</v>
      </c>
      <c r="D12" s="11">
        <v>20</v>
      </c>
      <c r="E12" s="12">
        <f t="shared" si="0"/>
        <v>0.90909090909090906</v>
      </c>
    </row>
    <row r="13" spans="1:5" ht="15" customHeight="1" x14ac:dyDescent="0.25">
      <c r="A13" s="7" t="s">
        <v>53</v>
      </c>
      <c r="B13" s="2"/>
      <c r="C13" s="11"/>
      <c r="D13" s="11"/>
      <c r="E13" s="12" t="str">
        <f t="shared" si="0"/>
        <v/>
      </c>
    </row>
    <row r="14" spans="1:5" ht="15" customHeight="1" x14ac:dyDescent="0.25">
      <c r="A14" s="7" t="s">
        <v>54</v>
      </c>
      <c r="B14" s="2">
        <v>524</v>
      </c>
      <c r="C14" s="11">
        <v>25</v>
      </c>
      <c r="D14" s="11">
        <v>24</v>
      </c>
      <c r="E14" s="12">
        <f t="shared" si="0"/>
        <v>0.96</v>
      </c>
    </row>
    <row r="15" spans="1:5" ht="15" customHeight="1" x14ac:dyDescent="0.25">
      <c r="A15" s="7" t="s">
        <v>55</v>
      </c>
      <c r="B15" s="2">
        <v>526</v>
      </c>
      <c r="C15" s="11">
        <v>36</v>
      </c>
      <c r="D15" s="11">
        <v>28</v>
      </c>
      <c r="E15" s="12">
        <f t="shared" si="0"/>
        <v>0.77777777777777779</v>
      </c>
    </row>
    <row r="16" spans="1:5" ht="15" customHeight="1" x14ac:dyDescent="0.25">
      <c r="A16" s="7" t="s">
        <v>56</v>
      </c>
      <c r="B16" s="2">
        <v>527</v>
      </c>
      <c r="C16" s="11">
        <v>19</v>
      </c>
      <c r="D16" s="11">
        <v>10</v>
      </c>
      <c r="E16" s="12">
        <f t="shared" si="0"/>
        <v>0.52631578947368418</v>
      </c>
    </row>
    <row r="17" spans="1:5" x14ac:dyDescent="0.25">
      <c r="A17" s="7" t="s">
        <v>57</v>
      </c>
      <c r="B17" s="2"/>
      <c r="C17" s="2"/>
      <c r="D17" s="2"/>
      <c r="E17" s="13" t="str">
        <f t="shared" si="0"/>
        <v/>
      </c>
    </row>
    <row r="18" spans="1:5" x14ac:dyDescent="0.25">
      <c r="A18" s="7" t="s">
        <v>58</v>
      </c>
      <c r="B18" s="2"/>
      <c r="C18" s="2"/>
      <c r="D18" s="2"/>
      <c r="E18" s="13" t="str">
        <f t="shared" si="0"/>
        <v/>
      </c>
    </row>
    <row r="19" spans="1:5" x14ac:dyDescent="0.25">
      <c r="A19" s="7" t="s">
        <v>59</v>
      </c>
      <c r="B19" s="2"/>
      <c r="C19" s="2"/>
      <c r="D19" s="2"/>
      <c r="E19" s="13" t="str">
        <f t="shared" si="0"/>
        <v/>
      </c>
    </row>
    <row r="20" spans="1:5" x14ac:dyDescent="0.25">
      <c r="A20" s="7" t="s">
        <v>60</v>
      </c>
      <c r="B20" s="2"/>
      <c r="C20" s="2"/>
      <c r="D20" s="2"/>
      <c r="E20" s="13" t="str">
        <f t="shared" si="0"/>
        <v/>
      </c>
    </row>
    <row r="21" spans="1:5" x14ac:dyDescent="0.25">
      <c r="A21" s="7" t="s">
        <v>61</v>
      </c>
      <c r="B21" s="2"/>
      <c r="C21" s="2"/>
      <c r="D21" s="2"/>
      <c r="E21" s="13" t="str">
        <f t="shared" si="0"/>
        <v/>
      </c>
    </row>
    <row r="22" spans="1:5" x14ac:dyDescent="0.25">
      <c r="A22" s="7" t="s">
        <v>62</v>
      </c>
      <c r="B22" s="2"/>
      <c r="C22" s="2"/>
      <c r="D22" s="2"/>
      <c r="E22" s="13" t="str">
        <f t="shared" si="0"/>
        <v/>
      </c>
    </row>
    <row r="23" spans="1:5" x14ac:dyDescent="0.25">
      <c r="A23" s="7" t="s">
        <v>63</v>
      </c>
      <c r="B23" s="2"/>
      <c r="C23" s="2"/>
      <c r="D23" s="2"/>
      <c r="E23" s="13" t="str">
        <f t="shared" si="0"/>
        <v/>
      </c>
    </row>
    <row r="24" spans="1:5" x14ac:dyDescent="0.25">
      <c r="A24" s="7" t="s">
        <v>64</v>
      </c>
      <c r="B24" s="2"/>
      <c r="C24" s="2"/>
      <c r="D24" s="2"/>
      <c r="E24" s="13" t="str">
        <f t="shared" si="0"/>
        <v/>
      </c>
    </row>
    <row r="25" spans="1:5" x14ac:dyDescent="0.25">
      <c r="A25" s="6" t="s">
        <v>19</v>
      </c>
      <c r="B25" s="4"/>
      <c r="C25" s="4"/>
      <c r="D25" s="4"/>
      <c r="E25" s="14"/>
    </row>
    <row r="26" spans="1:5" ht="15" customHeight="1" x14ac:dyDescent="0.25">
      <c r="A26" s="7" t="s">
        <v>65</v>
      </c>
      <c r="B26" s="2">
        <v>522</v>
      </c>
      <c r="C26" s="2">
        <v>11</v>
      </c>
      <c r="D26" s="2">
        <v>5</v>
      </c>
      <c r="E26" s="12">
        <f t="shared" ref="E26:E31" si="1">IF(AND(C26&lt;&gt;"",D26&lt;&gt;""),D26/C26,"")</f>
        <v>0.45454545454545453</v>
      </c>
    </row>
    <row r="27" spans="1:5" ht="15" customHeight="1" x14ac:dyDescent="0.25">
      <c r="A27" s="7" t="s">
        <v>66</v>
      </c>
      <c r="B27" s="2">
        <v>523</v>
      </c>
      <c r="C27" s="2">
        <v>19</v>
      </c>
      <c r="D27" s="2">
        <v>15</v>
      </c>
      <c r="E27" s="12">
        <f t="shared" si="1"/>
        <v>0.78947368421052633</v>
      </c>
    </row>
    <row r="28" spans="1:5" ht="15" customHeight="1" x14ac:dyDescent="0.25">
      <c r="A28" s="7" t="s">
        <v>67</v>
      </c>
      <c r="B28" s="2">
        <v>525</v>
      </c>
      <c r="C28" s="2">
        <v>15</v>
      </c>
      <c r="D28" s="2">
        <v>13</v>
      </c>
      <c r="E28" s="12">
        <f t="shared" si="1"/>
        <v>0.8666666666666667</v>
      </c>
    </row>
    <row r="29" spans="1:5" ht="15" customHeight="1" x14ac:dyDescent="0.25">
      <c r="A29" s="7" t="s">
        <v>68</v>
      </c>
      <c r="B29" s="2">
        <v>528</v>
      </c>
      <c r="C29" s="2">
        <v>17</v>
      </c>
      <c r="D29" s="2">
        <v>11</v>
      </c>
      <c r="E29" s="12">
        <f t="shared" si="1"/>
        <v>0.6470588235294118</v>
      </c>
    </row>
    <row r="30" spans="1:5" ht="15" customHeight="1" x14ac:dyDescent="0.25">
      <c r="A30" s="7" t="s">
        <v>69</v>
      </c>
      <c r="B30" s="2"/>
      <c r="C30" s="2"/>
      <c r="D30" s="2"/>
      <c r="E30" s="12" t="str">
        <f t="shared" si="1"/>
        <v/>
      </c>
    </row>
    <row r="31" spans="1:5" ht="15" customHeight="1" x14ac:dyDescent="0.25">
      <c r="A31" s="7" t="s">
        <v>70</v>
      </c>
      <c r="B31" s="2"/>
      <c r="C31" s="2"/>
      <c r="D31" s="2"/>
      <c r="E31" s="12" t="str">
        <f t="shared" si="1"/>
        <v/>
      </c>
    </row>
    <row r="32" spans="1:5" x14ac:dyDescent="0.25">
      <c r="A32" s="6" t="s">
        <v>27</v>
      </c>
      <c r="B32" s="4"/>
      <c r="C32" s="4"/>
      <c r="D32" s="4"/>
      <c r="E32" s="14"/>
    </row>
    <row r="33" spans="1:5" x14ac:dyDescent="0.25">
      <c r="A33" s="7" t="s">
        <v>71</v>
      </c>
      <c r="B33" s="2"/>
      <c r="C33" s="2"/>
      <c r="D33" s="2"/>
      <c r="E33" s="13" t="str">
        <f t="shared" ref="E33:E38" si="2">IF(AND(C33&lt;&gt;"",D33&lt;&gt;""),D33/C33,"")</f>
        <v/>
      </c>
    </row>
    <row r="34" spans="1:5" x14ac:dyDescent="0.25">
      <c r="A34" s="7" t="s">
        <v>72</v>
      </c>
      <c r="B34" s="2"/>
      <c r="C34" s="2"/>
      <c r="D34" s="2"/>
      <c r="E34" s="13" t="str">
        <f t="shared" si="2"/>
        <v/>
      </c>
    </row>
    <row r="35" spans="1:5" x14ac:dyDescent="0.25">
      <c r="A35" s="7" t="s">
        <v>73</v>
      </c>
      <c r="B35" s="2"/>
      <c r="C35" s="2"/>
      <c r="D35" s="2"/>
      <c r="E35" s="13" t="str">
        <f t="shared" si="2"/>
        <v/>
      </c>
    </row>
    <row r="36" spans="1:5" x14ac:dyDescent="0.25">
      <c r="A36" s="7" t="s">
        <v>74</v>
      </c>
      <c r="B36" s="2"/>
      <c r="C36" s="2"/>
      <c r="D36" s="2"/>
      <c r="E36" s="13" t="str">
        <f t="shared" si="2"/>
        <v/>
      </c>
    </row>
    <row r="37" spans="1:5" x14ac:dyDescent="0.25">
      <c r="A37" s="7" t="s">
        <v>75</v>
      </c>
      <c r="B37" s="2"/>
      <c r="C37" s="2"/>
      <c r="D37" s="2"/>
      <c r="E37" s="13" t="str">
        <f t="shared" si="2"/>
        <v/>
      </c>
    </row>
    <row r="38" spans="1:5" x14ac:dyDescent="0.25">
      <c r="A38" s="7" t="s">
        <v>76</v>
      </c>
      <c r="B38" s="2"/>
      <c r="C38" s="2"/>
      <c r="D38" s="2"/>
      <c r="E38" s="13" t="str">
        <f t="shared" si="2"/>
        <v/>
      </c>
    </row>
    <row r="39" spans="1:5" x14ac:dyDescent="0.25">
      <c r="A39" s="8" t="s">
        <v>77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33" t="s">
        <v>78</v>
      </c>
      <c r="B41" s="34"/>
      <c r="C41" s="34"/>
      <c r="D41" s="34"/>
      <c r="E41" s="35"/>
    </row>
    <row r="42" spans="1:5" x14ac:dyDescent="0.25">
      <c r="A42" s="6" t="s">
        <v>8</v>
      </c>
      <c r="B42" s="4"/>
      <c r="C42" s="4"/>
      <c r="D42" s="4"/>
      <c r="E42" s="4"/>
    </row>
    <row r="43" spans="1:5" x14ac:dyDescent="0.25">
      <c r="A43" s="7" t="s">
        <v>47</v>
      </c>
      <c r="B43" s="2"/>
      <c r="C43" s="2"/>
      <c r="D43" s="2"/>
      <c r="E43" s="2" t="str">
        <f t="shared" ref="E43:E60" si="3">IF(AND(C43&lt;&gt;"",D43&lt;&gt;""),D43/C43,"")</f>
        <v/>
      </c>
    </row>
    <row r="44" spans="1:5" x14ac:dyDescent="0.25">
      <c r="A44" s="7" t="s">
        <v>48</v>
      </c>
      <c r="B44" s="2"/>
      <c r="C44" s="2"/>
      <c r="D44" s="2"/>
      <c r="E44" s="2" t="str">
        <f t="shared" si="3"/>
        <v/>
      </c>
    </row>
    <row r="45" spans="1:5" x14ac:dyDescent="0.25">
      <c r="A45" s="7" t="s">
        <v>49</v>
      </c>
      <c r="B45" s="2"/>
      <c r="C45" s="2"/>
      <c r="D45" s="2"/>
      <c r="E45" s="2" t="str">
        <f t="shared" si="3"/>
        <v/>
      </c>
    </row>
    <row r="46" spans="1:5" x14ac:dyDescent="0.25">
      <c r="A46" s="7" t="s">
        <v>50</v>
      </c>
      <c r="B46" s="2"/>
      <c r="C46" s="2"/>
      <c r="D46" s="2"/>
      <c r="E46" s="2" t="str">
        <f t="shared" si="3"/>
        <v/>
      </c>
    </row>
    <row r="47" spans="1:5" x14ac:dyDescent="0.25">
      <c r="A47" s="7" t="s">
        <v>51</v>
      </c>
      <c r="B47" s="2"/>
      <c r="C47" s="2"/>
      <c r="D47" s="2"/>
      <c r="E47" s="2" t="str">
        <f t="shared" si="3"/>
        <v/>
      </c>
    </row>
    <row r="48" spans="1:5" x14ac:dyDescent="0.25">
      <c r="A48" s="7" t="s">
        <v>52</v>
      </c>
      <c r="B48" s="2"/>
      <c r="C48" s="2"/>
      <c r="D48" s="2"/>
      <c r="E48" s="2" t="str">
        <f t="shared" si="3"/>
        <v/>
      </c>
    </row>
    <row r="49" spans="1:5" x14ac:dyDescent="0.25">
      <c r="A49" s="7" t="s">
        <v>53</v>
      </c>
      <c r="B49" s="2"/>
      <c r="C49" s="2"/>
      <c r="D49" s="2"/>
      <c r="E49" s="2" t="str">
        <f t="shared" si="3"/>
        <v/>
      </c>
    </row>
    <row r="50" spans="1:5" x14ac:dyDescent="0.25">
      <c r="A50" s="7" t="s">
        <v>54</v>
      </c>
      <c r="B50" s="2"/>
      <c r="C50" s="2"/>
      <c r="D50" s="2"/>
      <c r="E50" s="2" t="str">
        <f t="shared" si="3"/>
        <v/>
      </c>
    </row>
    <row r="51" spans="1:5" x14ac:dyDescent="0.25">
      <c r="A51" s="7" t="s">
        <v>55</v>
      </c>
      <c r="B51" s="2"/>
      <c r="C51" s="2"/>
      <c r="D51" s="2"/>
      <c r="E51" s="2" t="str">
        <f t="shared" si="3"/>
        <v/>
      </c>
    </row>
    <row r="52" spans="1:5" x14ac:dyDescent="0.25">
      <c r="A52" s="7" t="s">
        <v>56</v>
      </c>
      <c r="B52" s="2"/>
      <c r="C52" s="2"/>
      <c r="D52" s="2"/>
      <c r="E52" s="2" t="str">
        <f t="shared" si="3"/>
        <v/>
      </c>
    </row>
    <row r="53" spans="1:5" x14ac:dyDescent="0.25">
      <c r="A53" s="7" t="s">
        <v>57</v>
      </c>
      <c r="B53" s="2"/>
      <c r="C53" s="2"/>
      <c r="D53" s="2"/>
      <c r="E53" s="2" t="str">
        <f t="shared" si="3"/>
        <v/>
      </c>
    </row>
    <row r="54" spans="1:5" x14ac:dyDescent="0.25">
      <c r="A54" s="7" t="s">
        <v>58</v>
      </c>
      <c r="B54" s="2"/>
      <c r="C54" s="2"/>
      <c r="D54" s="2"/>
      <c r="E54" s="2" t="str">
        <f t="shared" si="3"/>
        <v/>
      </c>
    </row>
    <row r="55" spans="1:5" x14ac:dyDescent="0.25">
      <c r="A55" s="7" t="s">
        <v>59</v>
      </c>
      <c r="B55" s="2"/>
      <c r="C55" s="2"/>
      <c r="D55" s="2"/>
      <c r="E55" s="2" t="str">
        <f t="shared" si="3"/>
        <v/>
      </c>
    </row>
    <row r="56" spans="1:5" x14ac:dyDescent="0.25">
      <c r="A56" s="7" t="s">
        <v>60</v>
      </c>
      <c r="B56" s="2"/>
      <c r="C56" s="2"/>
      <c r="D56" s="2"/>
      <c r="E56" s="2" t="str">
        <f t="shared" si="3"/>
        <v/>
      </c>
    </row>
    <row r="57" spans="1:5" x14ac:dyDescent="0.25">
      <c r="A57" s="7" t="s">
        <v>61</v>
      </c>
      <c r="B57" s="2"/>
      <c r="C57" s="2"/>
      <c r="D57" s="2"/>
      <c r="E57" s="2" t="str">
        <f t="shared" si="3"/>
        <v/>
      </c>
    </row>
    <row r="58" spans="1:5" x14ac:dyDescent="0.25">
      <c r="A58" s="7" t="s">
        <v>62</v>
      </c>
      <c r="B58" s="2"/>
      <c r="C58" s="2"/>
      <c r="D58" s="2"/>
      <c r="E58" s="2" t="str">
        <f t="shared" si="3"/>
        <v/>
      </c>
    </row>
    <row r="59" spans="1:5" x14ac:dyDescent="0.25">
      <c r="A59" s="7" t="s">
        <v>63</v>
      </c>
      <c r="B59" s="2"/>
      <c r="C59" s="2"/>
      <c r="D59" s="2"/>
      <c r="E59" s="2" t="str">
        <f t="shared" si="3"/>
        <v/>
      </c>
    </row>
    <row r="60" spans="1:5" x14ac:dyDescent="0.25">
      <c r="A60" s="7" t="s">
        <v>64</v>
      </c>
      <c r="B60" s="2"/>
      <c r="C60" s="2"/>
      <c r="D60" s="2"/>
      <c r="E60" s="2" t="str">
        <f t="shared" si="3"/>
        <v/>
      </c>
    </row>
    <row r="61" spans="1:5" x14ac:dyDescent="0.25">
      <c r="A61" s="8" t="s">
        <v>79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33" t="s">
        <v>2</v>
      </c>
      <c r="B63" s="34"/>
      <c r="C63" s="34"/>
      <c r="D63" s="34"/>
      <c r="E63" s="35"/>
    </row>
    <row r="64" spans="1:5" x14ac:dyDescent="0.25">
      <c r="A64" s="6" t="s">
        <v>19</v>
      </c>
      <c r="B64" s="4"/>
      <c r="C64" s="4"/>
      <c r="D64" s="4"/>
      <c r="E64" s="4"/>
    </row>
    <row r="65" spans="1:5" x14ac:dyDescent="0.25">
      <c r="A65" s="7" t="s">
        <v>65</v>
      </c>
      <c r="B65" s="2"/>
      <c r="C65" s="2"/>
      <c r="D65" s="2"/>
      <c r="E65" s="2" t="str">
        <f t="shared" ref="E65:E73" si="4">IF(AND(C65&lt;&gt;"",D65&lt;&gt;""),D65/C65,"")</f>
        <v/>
      </c>
    </row>
    <row r="66" spans="1:5" x14ac:dyDescent="0.25">
      <c r="A66" s="7" t="s">
        <v>80</v>
      </c>
      <c r="B66" s="2"/>
      <c r="C66" s="2"/>
      <c r="D66" s="2"/>
      <c r="E66" s="2" t="str">
        <f t="shared" si="4"/>
        <v/>
      </c>
    </row>
    <row r="67" spans="1:5" x14ac:dyDescent="0.25">
      <c r="A67" s="7" t="s">
        <v>81</v>
      </c>
      <c r="B67" s="2"/>
      <c r="C67" s="2"/>
      <c r="D67" s="2"/>
      <c r="E67" s="2" t="str">
        <f t="shared" si="4"/>
        <v/>
      </c>
    </row>
    <row r="68" spans="1:5" x14ac:dyDescent="0.25">
      <c r="A68" s="7" t="s">
        <v>82</v>
      </c>
      <c r="B68" s="2"/>
      <c r="C68" s="2"/>
      <c r="D68" s="2"/>
      <c r="E68" s="2" t="str">
        <f t="shared" si="4"/>
        <v/>
      </c>
    </row>
    <row r="69" spans="1:5" x14ac:dyDescent="0.25">
      <c r="A69" s="7" t="s">
        <v>83</v>
      </c>
      <c r="B69" s="2"/>
      <c r="C69" s="2"/>
      <c r="D69" s="2"/>
      <c r="E69" s="2" t="str">
        <f t="shared" si="4"/>
        <v/>
      </c>
    </row>
    <row r="70" spans="1:5" x14ac:dyDescent="0.25">
      <c r="A70" s="7" t="s">
        <v>84</v>
      </c>
      <c r="B70" s="2"/>
      <c r="C70" s="2"/>
      <c r="D70" s="2"/>
      <c r="E70" s="2" t="str">
        <f t="shared" si="4"/>
        <v/>
      </c>
    </row>
    <row r="71" spans="1:5" x14ac:dyDescent="0.25">
      <c r="A71" s="7" t="s">
        <v>85</v>
      </c>
      <c r="B71" s="2"/>
      <c r="C71" s="2"/>
      <c r="D71" s="2"/>
      <c r="E71" s="2" t="str">
        <f t="shared" si="4"/>
        <v/>
      </c>
    </row>
    <row r="72" spans="1:5" x14ac:dyDescent="0.25">
      <c r="A72" s="7" t="s">
        <v>86</v>
      </c>
      <c r="B72" s="2"/>
      <c r="C72" s="2"/>
      <c r="D72" s="2"/>
      <c r="E72" s="2" t="str">
        <f t="shared" si="4"/>
        <v/>
      </c>
    </row>
    <row r="73" spans="1:5" x14ac:dyDescent="0.25">
      <c r="A73" s="7" t="s">
        <v>87</v>
      </c>
      <c r="B73" s="2"/>
      <c r="C73" s="2"/>
      <c r="D73" s="2"/>
      <c r="E73" s="2" t="str">
        <f t="shared" si="4"/>
        <v/>
      </c>
    </row>
    <row r="74" spans="1:5" x14ac:dyDescent="0.25">
      <c r="A74" s="6" t="s">
        <v>27</v>
      </c>
      <c r="B74" s="4"/>
      <c r="C74" s="4"/>
      <c r="D74" s="4"/>
      <c r="E74" s="4"/>
    </row>
    <row r="75" spans="1:5" x14ac:dyDescent="0.25">
      <c r="A75" s="7" t="s">
        <v>88</v>
      </c>
      <c r="B75" s="2"/>
      <c r="C75" s="2"/>
      <c r="D75" s="2"/>
      <c r="E75" s="2" t="str">
        <f t="shared" ref="E75:E83" si="5">IF(AND(C75&lt;&gt;"",D75&lt;&gt;""),D75/C75,"")</f>
        <v/>
      </c>
    </row>
    <row r="76" spans="1:5" x14ac:dyDescent="0.25">
      <c r="A76" s="7" t="s">
        <v>72</v>
      </c>
      <c r="B76" s="2"/>
      <c r="C76" s="2"/>
      <c r="D76" s="2"/>
      <c r="E76" s="2" t="str">
        <f t="shared" si="5"/>
        <v/>
      </c>
    </row>
    <row r="77" spans="1:5" x14ac:dyDescent="0.25">
      <c r="A77" s="7" t="s">
        <v>89</v>
      </c>
      <c r="B77" s="2"/>
      <c r="C77" s="2"/>
      <c r="D77" s="2"/>
      <c r="E77" s="2" t="str">
        <f t="shared" si="5"/>
        <v/>
      </c>
    </row>
    <row r="78" spans="1:5" x14ac:dyDescent="0.25">
      <c r="A78" s="7" t="s">
        <v>90</v>
      </c>
      <c r="B78" s="2"/>
      <c r="C78" s="2"/>
      <c r="D78" s="2"/>
      <c r="E78" s="2" t="str">
        <f t="shared" si="5"/>
        <v/>
      </c>
    </row>
    <row r="79" spans="1:5" x14ac:dyDescent="0.25">
      <c r="A79" s="7" t="s">
        <v>91</v>
      </c>
      <c r="B79" s="2"/>
      <c r="C79" s="2"/>
      <c r="D79" s="2"/>
      <c r="E79" s="2" t="str">
        <f t="shared" si="5"/>
        <v/>
      </c>
    </row>
    <row r="80" spans="1:5" x14ac:dyDescent="0.25">
      <c r="A80" s="7" t="s">
        <v>92</v>
      </c>
      <c r="B80" s="2"/>
      <c r="C80" s="2"/>
      <c r="D80" s="2"/>
      <c r="E80" s="2" t="str">
        <f t="shared" si="5"/>
        <v/>
      </c>
    </row>
    <row r="81" spans="1:5" x14ac:dyDescent="0.25">
      <c r="A81" s="7" t="s">
        <v>93</v>
      </c>
      <c r="B81" s="2"/>
      <c r="C81" s="2"/>
      <c r="D81" s="2"/>
      <c r="E81" s="2" t="str">
        <f t="shared" si="5"/>
        <v/>
      </c>
    </row>
    <row r="82" spans="1:5" x14ac:dyDescent="0.25">
      <c r="A82" s="7" t="s">
        <v>94</v>
      </c>
      <c r="B82" s="2"/>
      <c r="C82" s="2"/>
      <c r="D82" s="2"/>
      <c r="E82" s="2" t="str">
        <f t="shared" si="5"/>
        <v/>
      </c>
    </row>
    <row r="83" spans="1:5" x14ac:dyDescent="0.25">
      <c r="A83" s="7" t="s">
        <v>95</v>
      </c>
      <c r="B83" s="2"/>
      <c r="C83" s="2"/>
      <c r="D83" s="2"/>
      <c r="E83" s="2" t="str">
        <f t="shared" si="5"/>
        <v/>
      </c>
    </row>
    <row r="84" spans="1:5" ht="15" customHeight="1" x14ac:dyDescent="0.25">
      <c r="A84" s="33" t="s">
        <v>96</v>
      </c>
      <c r="B84" s="34"/>
      <c r="C84" s="34"/>
      <c r="D84" s="34"/>
      <c r="E84" s="35"/>
    </row>
    <row r="85" spans="1:5" x14ac:dyDescent="0.25">
      <c r="A85" s="7" t="s">
        <v>97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98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99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100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101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102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8" type="noConversion"/>
  <conditionalFormatting sqref="E6:E16">
    <cfRule type="cellIs" dxfId="329" priority="4" operator="greaterThanOrEqual">
      <formula>0.9</formula>
    </cfRule>
    <cfRule type="cellIs" dxfId="328" priority="5" operator="between">
      <formula>0.8</formula>
      <formula>0.9</formula>
    </cfRule>
    <cfRule type="cellIs" dxfId="327" priority="6" operator="lessThan">
      <formula>0.8</formula>
    </cfRule>
  </conditionalFormatting>
  <conditionalFormatting sqref="E17:E24">
    <cfRule type="cellIs" dxfId="326" priority="7" operator="greaterThanOrEqual">
      <formula>0.9</formula>
    </cfRule>
    <cfRule type="cellIs" dxfId="325" priority="8" operator="between">
      <formula>0.8</formula>
      <formula>0.9</formula>
    </cfRule>
    <cfRule type="cellIs" dxfId="324" priority="9" operator="lessThan">
      <formula>0.8</formula>
    </cfRule>
  </conditionalFormatting>
  <conditionalFormatting sqref="E26:E31">
    <cfRule type="cellIs" dxfId="323" priority="1" operator="greaterThanOrEqual">
      <formula>0.9</formula>
    </cfRule>
    <cfRule type="cellIs" dxfId="322" priority="2" operator="between">
      <formula>0.8</formula>
      <formula>0.9</formula>
    </cfRule>
    <cfRule type="cellIs" dxfId="321" priority="3" operator="lessThan">
      <formula>0.8</formula>
    </cfRule>
  </conditionalFormatting>
  <conditionalFormatting sqref="E34:E38">
    <cfRule type="cellIs" dxfId="320" priority="82" operator="greaterThanOrEqual">
      <formula>0.9</formula>
    </cfRule>
    <cfRule type="cellIs" dxfId="319" priority="83" operator="between">
      <formula>0.8</formula>
      <formula>0.9</formula>
    </cfRule>
    <cfRule type="cellIs" dxfId="318" priority="84" operator="lessThan">
      <formula>0.8</formula>
    </cfRule>
  </conditionalFormatting>
  <conditionalFormatting sqref="E40">
    <cfRule type="cellIs" dxfId="317" priority="214" operator="greaterThanOrEqual">
      <formula>0.9</formula>
    </cfRule>
    <cfRule type="cellIs" dxfId="316" priority="215" operator="between">
      <formula>0.8</formula>
      <formula>0.9</formula>
    </cfRule>
    <cfRule type="cellIs" dxfId="315" priority="216" operator="lessThan">
      <formula>0.8</formula>
    </cfRule>
  </conditionalFormatting>
  <conditionalFormatting sqref="E43:E60">
    <cfRule type="cellIs" dxfId="314" priority="97" operator="greaterThanOrEqual">
      <formula>0.9</formula>
    </cfRule>
    <cfRule type="cellIs" dxfId="313" priority="98" operator="between">
      <formula>0.8</formula>
      <formula>0.9</formula>
    </cfRule>
    <cfRule type="cellIs" dxfId="312" priority="99" operator="lessThan">
      <formula>0.8</formula>
    </cfRule>
  </conditionalFormatting>
  <conditionalFormatting sqref="E64:E73">
    <cfRule type="cellIs" dxfId="311" priority="151" operator="greaterThanOrEqual">
      <formula>0.9</formula>
    </cfRule>
    <cfRule type="cellIs" dxfId="310" priority="152" operator="between">
      <formula>0.8</formula>
      <formula>0.9</formula>
    </cfRule>
    <cfRule type="cellIs" dxfId="309" priority="153" operator="lessThan">
      <formula>0.8</formula>
    </cfRule>
  </conditionalFormatting>
  <conditionalFormatting sqref="E76:E83">
    <cfRule type="cellIs" dxfId="308" priority="178" operator="greaterThanOrEqual">
      <formula>0.9</formula>
    </cfRule>
    <cfRule type="cellIs" dxfId="307" priority="179" operator="between">
      <formula>0.8</formula>
      <formula>0.9</formula>
    </cfRule>
    <cfRule type="cellIs" dxfId="306" priority="180" operator="lessThan">
      <formula>0.8</formula>
    </cfRule>
  </conditionalFormatting>
  <conditionalFormatting sqref="E85:E88">
    <cfRule type="cellIs" dxfId="305" priority="202" operator="greaterThanOrEqual">
      <formula>0.9</formula>
    </cfRule>
    <cfRule type="cellIs" dxfId="304" priority="203" operator="between">
      <formula>0.8</formula>
      <formula>0.9</formula>
    </cfRule>
    <cfRule type="cellIs" dxfId="303" priority="204" operator="lessThan">
      <formula>0.8</formula>
    </cfRule>
  </conditionalFormatting>
  <conditionalFormatting sqref="E91">
    <cfRule type="cellIs" dxfId="302" priority="223" operator="greaterThanOrEqual">
      <formula>0.9</formula>
    </cfRule>
    <cfRule type="cellIs" dxfId="301" priority="224" operator="between">
      <formula>0.8</formula>
      <formula>0.9</formula>
    </cfRule>
    <cfRule type="cellIs" dxfId="300" priority="225" operator="lessThan">
      <formula>0.8</formula>
    </cfRule>
  </conditionalFormatting>
  <conditionalFormatting sqref="E94">
    <cfRule type="cellIs" dxfId="299" priority="220" operator="greaterThanOrEqual">
      <formula>0.9</formula>
    </cfRule>
    <cfRule type="cellIs" dxfId="298" priority="221" operator="between">
      <formula>0.8</formula>
      <formula>0.9</formula>
    </cfRule>
    <cfRule type="cellIs" dxfId="297" priority="222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I51"/>
  <sheetViews>
    <sheetView workbookViewId="0">
      <selection activeCell="D22" sqref="D22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36" t="s">
        <v>103</v>
      </c>
      <c r="B1" s="24"/>
      <c r="C1" s="24"/>
      <c r="D1" s="24"/>
      <c r="E1" s="24"/>
      <c r="F1" s="24"/>
      <c r="G1" s="24"/>
      <c r="H1" s="24"/>
      <c r="I1" s="24"/>
    </row>
    <row r="3" spans="1:9" x14ac:dyDescent="0.25">
      <c r="A3" s="38" t="s">
        <v>104</v>
      </c>
      <c r="B3" s="34"/>
      <c r="C3" s="34"/>
      <c r="D3" s="34"/>
      <c r="E3" s="35"/>
      <c r="F3" s="9"/>
      <c r="G3" s="37" t="s">
        <v>105</v>
      </c>
      <c r="H3" s="34"/>
      <c r="I3" s="35"/>
    </row>
    <row r="4" spans="1:9" x14ac:dyDescent="0.25">
      <c r="A4" s="1" t="s">
        <v>106</v>
      </c>
      <c r="B4" s="1" t="s">
        <v>44</v>
      </c>
      <c r="C4" s="1" t="s">
        <v>45</v>
      </c>
      <c r="D4" s="1" t="s">
        <v>6</v>
      </c>
      <c r="E4" s="1" t="s">
        <v>7</v>
      </c>
      <c r="F4" s="9"/>
      <c r="G4" s="1" t="s">
        <v>107</v>
      </c>
      <c r="H4" s="1" t="s">
        <v>108</v>
      </c>
      <c r="I4" s="1" t="s">
        <v>7</v>
      </c>
    </row>
    <row r="5" spans="1:9" x14ac:dyDescent="0.25">
      <c r="A5" s="10" t="s">
        <v>109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110</v>
      </c>
      <c r="B6" s="11">
        <v>530</v>
      </c>
      <c r="C6" s="11">
        <v>11</v>
      </c>
      <c r="D6" s="11">
        <v>10</v>
      </c>
      <c r="E6" s="12">
        <f t="shared" ref="E6:E11" si="0">IF(AND(C6&lt;&gt;"",D6&lt;&gt;""),D6/C6,"")</f>
        <v>0.90909090909090906</v>
      </c>
      <c r="F6" s="9"/>
      <c r="G6" s="2"/>
      <c r="H6" s="2"/>
      <c r="I6" s="2" t="str">
        <f t="shared" ref="I6:I11" si="1">IF(AND(G6&lt;&gt;"",H6&lt;&gt;""),H6/G6,"")</f>
        <v/>
      </c>
    </row>
    <row r="7" spans="1:9" ht="15" customHeight="1" x14ac:dyDescent="0.25">
      <c r="A7" s="7" t="s">
        <v>111</v>
      </c>
      <c r="B7" s="11">
        <v>530</v>
      </c>
      <c r="C7" s="11">
        <v>20</v>
      </c>
      <c r="D7" s="11">
        <v>14</v>
      </c>
      <c r="E7" s="12">
        <f t="shared" si="0"/>
        <v>0.7</v>
      </c>
      <c r="F7" s="9"/>
      <c r="G7" s="2"/>
      <c r="H7" s="2"/>
      <c r="I7" s="2" t="str">
        <f t="shared" si="1"/>
        <v/>
      </c>
    </row>
    <row r="8" spans="1:9" ht="15" customHeight="1" x14ac:dyDescent="0.25">
      <c r="A8" s="7" t="s">
        <v>112</v>
      </c>
      <c r="B8" s="11">
        <v>530</v>
      </c>
      <c r="C8" s="11">
        <v>33</v>
      </c>
      <c r="D8" s="11">
        <v>25</v>
      </c>
      <c r="E8" s="12">
        <f t="shared" si="0"/>
        <v>0.75757575757575757</v>
      </c>
      <c r="F8" s="9"/>
      <c r="G8" s="2"/>
      <c r="H8" s="2"/>
      <c r="I8" s="2" t="str">
        <f t="shared" si="1"/>
        <v/>
      </c>
    </row>
    <row r="9" spans="1:9" ht="15" customHeight="1" x14ac:dyDescent="0.25">
      <c r="A9" s="7" t="s">
        <v>113</v>
      </c>
      <c r="B9" s="11">
        <v>531</v>
      </c>
      <c r="C9" s="11">
        <v>22</v>
      </c>
      <c r="D9" s="11">
        <v>14</v>
      </c>
      <c r="E9" s="12">
        <f t="shared" si="0"/>
        <v>0.63636363636363635</v>
      </c>
      <c r="F9" s="9"/>
      <c r="G9" s="2"/>
      <c r="H9" s="2"/>
      <c r="I9" s="2" t="str">
        <f t="shared" si="1"/>
        <v/>
      </c>
    </row>
    <row r="10" spans="1:9" ht="15" customHeight="1" x14ac:dyDescent="0.25">
      <c r="A10" s="7" t="s">
        <v>114</v>
      </c>
      <c r="B10" s="11">
        <v>531</v>
      </c>
      <c r="C10" s="11">
        <v>22</v>
      </c>
      <c r="D10" s="11">
        <v>14</v>
      </c>
      <c r="E10" s="12">
        <f t="shared" si="0"/>
        <v>0.63636363636363635</v>
      </c>
      <c r="F10" s="9"/>
      <c r="G10" s="2"/>
      <c r="H10" s="2"/>
      <c r="I10" s="2" t="str">
        <f t="shared" si="1"/>
        <v/>
      </c>
    </row>
    <row r="11" spans="1:9" ht="15" customHeight="1" x14ac:dyDescent="0.25">
      <c r="A11" s="7" t="s">
        <v>115</v>
      </c>
      <c r="B11" s="11">
        <v>531</v>
      </c>
      <c r="C11" s="11">
        <v>22</v>
      </c>
      <c r="D11" s="11">
        <v>14</v>
      </c>
      <c r="E11" s="12">
        <f t="shared" si="0"/>
        <v>0.63636363636363635</v>
      </c>
      <c r="F11" s="9"/>
      <c r="G11" s="2"/>
      <c r="H11" s="2"/>
      <c r="I11" s="2" t="str">
        <f t="shared" si="1"/>
        <v/>
      </c>
    </row>
    <row r="12" spans="1:9" x14ac:dyDescent="0.25">
      <c r="A12" s="10" t="s">
        <v>116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7" t="s">
        <v>117</v>
      </c>
      <c r="B13" s="11">
        <v>601</v>
      </c>
      <c r="C13" s="11">
        <v>73</v>
      </c>
      <c r="D13" s="11">
        <v>53</v>
      </c>
      <c r="E13" s="12">
        <f>IF(AND(C13&lt;&gt;"",D13&lt;&gt;""),D13/C13,"")</f>
        <v>0.72602739726027399</v>
      </c>
      <c r="F13" s="9"/>
      <c r="G13" s="2"/>
      <c r="H13" s="2"/>
      <c r="I13" s="2" t="str">
        <f>IF(AND(G13&lt;&gt;"",H13&lt;&gt;""),H13/G13,"")</f>
        <v/>
      </c>
    </row>
    <row r="14" spans="1:9" ht="15" customHeight="1" x14ac:dyDescent="0.25">
      <c r="A14" s="7" t="s">
        <v>118</v>
      </c>
      <c r="B14" s="11">
        <v>602</v>
      </c>
      <c r="C14" s="11">
        <v>57</v>
      </c>
      <c r="D14" s="11">
        <v>46</v>
      </c>
      <c r="E14" s="12">
        <f>IF(AND(C14&lt;&gt;"",D14&lt;&gt;""),D14/C14,"")</f>
        <v>0.80701754385964908</v>
      </c>
      <c r="F14" s="9"/>
      <c r="G14" s="2"/>
      <c r="H14" s="2"/>
      <c r="I14" s="2" t="str">
        <f>IF(AND(G14&lt;&gt;"",H14&lt;&gt;""),H14/G14,"")</f>
        <v/>
      </c>
    </row>
    <row r="15" spans="1:9" ht="15" customHeight="1" x14ac:dyDescent="0.25">
      <c r="A15" s="7" t="s">
        <v>119</v>
      </c>
      <c r="B15" s="11">
        <v>606</v>
      </c>
      <c r="C15" s="11">
        <v>56</v>
      </c>
      <c r="D15" s="11">
        <v>46</v>
      </c>
      <c r="E15" s="12">
        <f>IF(AND(C15&lt;&gt;"",D15&lt;&gt;""),D15/C15,"")</f>
        <v>0.8214285714285714</v>
      </c>
      <c r="F15" s="9"/>
      <c r="G15" s="2"/>
      <c r="H15" s="2"/>
      <c r="I15" s="2" t="str">
        <f>IF(AND(G15&lt;&gt;"",H15&lt;&gt;""),H15/G15,"")</f>
        <v/>
      </c>
    </row>
    <row r="16" spans="1:9" ht="15" customHeight="1" x14ac:dyDescent="0.25">
      <c r="A16" s="7" t="s">
        <v>120</v>
      </c>
      <c r="B16" s="11">
        <v>607</v>
      </c>
      <c r="C16" s="11">
        <v>45</v>
      </c>
      <c r="D16" s="11">
        <v>38</v>
      </c>
      <c r="E16" s="12">
        <f>IF(AND(C16&lt;&gt;"",D16&lt;&gt;""),D16/C16,"")</f>
        <v>0.84444444444444444</v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121</v>
      </c>
      <c r="B17" s="9"/>
      <c r="C17" s="9"/>
      <c r="D17" s="9"/>
      <c r="E17" s="9"/>
      <c r="F17" s="9"/>
      <c r="G17" s="9"/>
      <c r="H17" s="9"/>
      <c r="I17" s="9"/>
    </row>
    <row r="18" spans="1:9" ht="15" customHeight="1" x14ac:dyDescent="0.25">
      <c r="A18" s="7" t="s">
        <v>122</v>
      </c>
      <c r="B18" s="11">
        <v>609</v>
      </c>
      <c r="C18" s="11">
        <v>72</v>
      </c>
      <c r="D18" s="11">
        <v>51</v>
      </c>
      <c r="E18" s="12">
        <f>IF(AND(C18&lt;&gt;"",D18&lt;&gt;""),D18/C18,"")</f>
        <v>0.70833333333333337</v>
      </c>
      <c r="F18" s="9"/>
      <c r="G18" s="2"/>
      <c r="H18" s="2"/>
      <c r="I18" s="2" t="str">
        <f>IF(AND(G18&lt;&gt;"",H18&lt;&gt;""),H18/G18,"")</f>
        <v/>
      </c>
    </row>
    <row r="19" spans="1:9" ht="15" customHeight="1" x14ac:dyDescent="0.25">
      <c r="A19" s="7" t="s">
        <v>123</v>
      </c>
      <c r="B19" s="11">
        <v>610</v>
      </c>
      <c r="C19" s="11">
        <v>61</v>
      </c>
      <c r="D19" s="11">
        <v>46</v>
      </c>
      <c r="E19" s="12">
        <f>IF(AND(C19&lt;&gt;"",D19&lt;&gt;""),D19/C19,"")</f>
        <v>0.75409836065573765</v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124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125</v>
      </c>
      <c r="B21" s="11">
        <v>611</v>
      </c>
      <c r="C21" s="11">
        <v>5</v>
      </c>
      <c r="D21" s="11">
        <v>5</v>
      </c>
      <c r="E21" s="12">
        <f>IF(AND(C21&lt;&gt;"",D21&lt;&gt;""),D21/C21,"")</f>
        <v>1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126</v>
      </c>
      <c r="B22" s="11"/>
      <c r="C22" s="11"/>
      <c r="D22" s="11"/>
      <c r="E22" s="1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127</v>
      </c>
      <c r="B23" s="11"/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10" t="s">
        <v>128</v>
      </c>
      <c r="B24" s="9"/>
      <c r="C24" s="9"/>
      <c r="D24" s="9"/>
      <c r="E24" s="9"/>
      <c r="F24" s="9"/>
      <c r="G24" s="9"/>
      <c r="H24" s="9"/>
      <c r="I24" s="9"/>
    </row>
    <row r="25" spans="1:9" ht="15" customHeight="1" x14ac:dyDescent="0.25">
      <c r="A25" s="7" t="s">
        <v>129</v>
      </c>
      <c r="B25" s="11"/>
      <c r="C25" s="11"/>
      <c r="D25" s="11"/>
      <c r="E25" s="1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ht="15" customHeight="1" x14ac:dyDescent="0.25">
      <c r="A26" s="7" t="s">
        <v>130</v>
      </c>
      <c r="B26" s="11"/>
      <c r="C26" s="11"/>
      <c r="D26" s="11"/>
      <c r="E26" s="12" t="str">
        <f>IF(AND(C26&lt;&gt;"",D26&lt;&gt;""),D26/C26,"")</f>
        <v/>
      </c>
      <c r="F26" s="9"/>
      <c r="G26" s="2"/>
      <c r="H26" s="2"/>
      <c r="I26" s="2" t="str">
        <f>IF(AND(G26&lt;&gt;"",H26&lt;&gt;""),H26/G26,"")</f>
        <v/>
      </c>
    </row>
    <row r="27" spans="1:9" ht="15" customHeight="1" x14ac:dyDescent="0.25">
      <c r="A27" s="7" t="s">
        <v>131</v>
      </c>
      <c r="B27" s="11"/>
      <c r="C27" s="11"/>
      <c r="D27" s="11"/>
      <c r="E27" s="1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8" t="s">
        <v>3</v>
      </c>
      <c r="B28" s="8"/>
      <c r="C28" s="8">
        <f>SUM(C5:C27)</f>
        <v>499</v>
      </c>
      <c r="D28" s="8">
        <f>SUM(D5:D27)</f>
        <v>376</v>
      </c>
      <c r="E28" s="8">
        <f>IF(C28&gt;0, D28/C28,"")</f>
        <v>0.75350701402805609</v>
      </c>
      <c r="F28" s="8"/>
      <c r="G28" s="8">
        <f>SUM(G5:G27)</f>
        <v>0</v>
      </c>
      <c r="H28" s="8">
        <f>SUM(H5:H27)</f>
        <v>0</v>
      </c>
      <c r="I28" s="8" t="str">
        <f>IF(G28&gt;0, H28/G28,"")</f>
        <v/>
      </c>
    </row>
    <row r="30" spans="1:9" x14ac:dyDescent="0.25">
      <c r="A30" s="5" t="s">
        <v>132</v>
      </c>
      <c r="B30" s="5"/>
      <c r="C30" s="5">
        <f>C28+G28</f>
        <v>499</v>
      </c>
      <c r="D30" s="5">
        <f>D28+H28</f>
        <v>376</v>
      </c>
      <c r="E30" s="5">
        <f>IF(C30&gt;0, D30/C30,"")</f>
        <v>0.75350701402805609</v>
      </c>
      <c r="F30" s="5"/>
      <c r="G30" s="5"/>
      <c r="H30" s="5"/>
      <c r="I30" s="5"/>
    </row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</sheetData>
  <mergeCells count="3">
    <mergeCell ref="G3:I3"/>
    <mergeCell ref="A1:I1"/>
    <mergeCell ref="A3:E3"/>
  </mergeCells>
  <phoneticPr fontId="8" type="noConversion"/>
  <conditionalFormatting sqref="E6:E11">
    <cfRule type="cellIs" dxfId="296" priority="13" operator="greaterThanOrEqual">
      <formula>0.9</formula>
    </cfRule>
    <cfRule type="cellIs" dxfId="295" priority="14" operator="between">
      <formula>0.8</formula>
      <formula>0.9</formula>
    </cfRule>
    <cfRule type="cellIs" dxfId="294" priority="15" operator="lessThan">
      <formula>0.8</formula>
    </cfRule>
  </conditionalFormatting>
  <conditionalFormatting sqref="E13:E16">
    <cfRule type="cellIs" dxfId="293" priority="10" operator="greaterThanOrEqual">
      <formula>0.9</formula>
    </cfRule>
    <cfRule type="cellIs" dxfId="292" priority="11" operator="between">
      <formula>0.8</formula>
      <formula>0.9</formula>
    </cfRule>
    <cfRule type="cellIs" dxfId="291" priority="12" operator="lessThan">
      <formula>0.8</formula>
    </cfRule>
  </conditionalFormatting>
  <conditionalFormatting sqref="E18:E19">
    <cfRule type="cellIs" dxfId="290" priority="7" operator="greaterThanOrEqual">
      <formula>0.9</formula>
    </cfRule>
    <cfRule type="cellIs" dxfId="289" priority="8" operator="between">
      <formula>0.8</formula>
      <formula>0.9</formula>
    </cfRule>
    <cfRule type="cellIs" dxfId="288" priority="9" operator="lessThan">
      <formula>0.8</formula>
    </cfRule>
  </conditionalFormatting>
  <conditionalFormatting sqref="E21:E23">
    <cfRule type="cellIs" dxfId="287" priority="4" operator="greaterThanOrEqual">
      <formula>0.9</formula>
    </cfRule>
    <cfRule type="cellIs" dxfId="286" priority="5" operator="between">
      <formula>0.8</formula>
      <formula>0.9</formula>
    </cfRule>
    <cfRule type="cellIs" dxfId="285" priority="6" operator="lessThan">
      <formula>0.8</formula>
    </cfRule>
  </conditionalFormatting>
  <conditionalFormatting sqref="E25:E27">
    <cfRule type="cellIs" dxfId="284" priority="1" operator="greaterThanOrEqual">
      <formula>0.9</formula>
    </cfRule>
    <cfRule type="cellIs" dxfId="283" priority="2" operator="between">
      <formula>0.8</formula>
      <formula>0.9</formula>
    </cfRule>
    <cfRule type="cellIs" dxfId="282" priority="3" operator="lessThan">
      <formula>0.8</formula>
    </cfRule>
  </conditionalFormatting>
  <conditionalFormatting sqref="E28">
    <cfRule type="cellIs" dxfId="281" priority="61" operator="greaterThanOrEqual">
      <formula>0.9</formula>
    </cfRule>
    <cfRule type="cellIs" dxfId="280" priority="62" operator="between">
      <formula>0.8</formula>
      <formula>0.9</formula>
    </cfRule>
    <cfRule type="cellIs" dxfId="279" priority="63" operator="lessThan">
      <formula>0.8</formula>
    </cfRule>
  </conditionalFormatting>
  <conditionalFormatting sqref="E30">
    <cfRule type="cellIs" dxfId="278" priority="73" operator="greaterThanOrEqual">
      <formula>0.9</formula>
    </cfRule>
    <cfRule type="cellIs" dxfId="277" priority="74" operator="between">
      <formula>0.8</formula>
      <formula>0.9</formula>
    </cfRule>
    <cfRule type="cellIs" dxfId="276" priority="75" operator="lessThan">
      <formula>0.8</formula>
    </cfRule>
  </conditionalFormatting>
  <conditionalFormatting sqref="I6:I11">
    <cfRule type="cellIs" dxfId="275" priority="76" operator="greaterThanOrEqual">
      <formula>0.9</formula>
    </cfRule>
    <cfRule type="cellIs" dxfId="274" priority="77" operator="between">
      <formula>0.8</formula>
      <formula>0.9</formula>
    </cfRule>
    <cfRule type="cellIs" dxfId="273" priority="78" operator="lessThan">
      <formula>0.8</formula>
    </cfRule>
  </conditionalFormatting>
  <conditionalFormatting sqref="I13:I16">
    <cfRule type="cellIs" dxfId="272" priority="94" operator="greaterThanOrEqual">
      <formula>0.9</formula>
    </cfRule>
    <cfRule type="cellIs" dxfId="271" priority="95" operator="between">
      <formula>0.8</formula>
      <formula>0.9</formula>
    </cfRule>
    <cfRule type="cellIs" dxfId="270" priority="96" operator="lessThan">
      <formula>0.8</formula>
    </cfRule>
  </conditionalFormatting>
  <conditionalFormatting sqref="I18:I19">
    <cfRule type="cellIs" dxfId="269" priority="106" operator="greaterThanOrEqual">
      <formula>0.9</formula>
    </cfRule>
    <cfRule type="cellIs" dxfId="268" priority="107" operator="between">
      <formula>0.8</formula>
      <formula>0.9</formula>
    </cfRule>
    <cfRule type="cellIs" dxfId="267" priority="108" operator="lessThan">
      <formula>0.8</formula>
    </cfRule>
  </conditionalFormatting>
  <conditionalFormatting sqref="I21:I23">
    <cfRule type="cellIs" dxfId="266" priority="112" operator="greaterThanOrEqual">
      <formula>0.9</formula>
    </cfRule>
    <cfRule type="cellIs" dxfId="265" priority="113" operator="between">
      <formula>0.8</formula>
      <formula>0.9</formula>
    </cfRule>
    <cfRule type="cellIs" dxfId="264" priority="114" operator="lessThan">
      <formula>0.8</formula>
    </cfRule>
  </conditionalFormatting>
  <conditionalFormatting sqref="I25:I28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I30">
    <cfRule type="cellIs" dxfId="260" priority="133" operator="greaterThanOrEqual">
      <formula>0.9</formula>
    </cfRule>
    <cfRule type="cellIs" dxfId="259" priority="134" operator="between">
      <formula>0.8</formula>
      <formula>0.9</formula>
    </cfRule>
    <cfRule type="cellIs" dxfId="258" priority="135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73"/>
  <sheetViews>
    <sheetView topLeftCell="A16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36" t="s">
        <v>133</v>
      </c>
      <c r="B1" s="24"/>
      <c r="C1" s="24"/>
      <c r="D1" s="24"/>
      <c r="E1" s="24"/>
      <c r="F1" s="24"/>
      <c r="G1" s="24"/>
      <c r="H1" s="24"/>
      <c r="I1" s="24"/>
    </row>
    <row r="3" spans="1:9" x14ac:dyDescent="0.25">
      <c r="A3" s="38" t="s">
        <v>104</v>
      </c>
      <c r="B3" s="34"/>
      <c r="C3" s="34"/>
      <c r="D3" s="34"/>
      <c r="E3" s="35"/>
      <c r="F3" s="9"/>
      <c r="G3" s="37" t="s">
        <v>105</v>
      </c>
      <c r="H3" s="34"/>
      <c r="I3" s="35"/>
    </row>
    <row r="4" spans="1:9" x14ac:dyDescent="0.25">
      <c r="A4" s="1" t="s">
        <v>106</v>
      </c>
      <c r="B4" s="1" t="s">
        <v>44</v>
      </c>
      <c r="C4" s="1" t="s">
        <v>45</v>
      </c>
      <c r="D4" s="1" t="s">
        <v>6</v>
      </c>
      <c r="E4" s="1" t="s">
        <v>7</v>
      </c>
      <c r="F4" s="9"/>
      <c r="G4" s="1" t="s">
        <v>107</v>
      </c>
      <c r="H4" s="1" t="s">
        <v>108</v>
      </c>
      <c r="I4" s="1" t="s">
        <v>7</v>
      </c>
    </row>
    <row r="5" spans="1:9" x14ac:dyDescent="0.25">
      <c r="A5" s="10" t="s">
        <v>109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134</v>
      </c>
      <c r="B6" s="11">
        <v>507</v>
      </c>
      <c r="C6" s="11">
        <v>1</v>
      </c>
      <c r="D6" s="11">
        <v>1</v>
      </c>
      <c r="E6" s="12">
        <f>IF(AND(C6&lt;&gt;"",D6&lt;&gt;""),D6/C6,"")</f>
        <v>1</v>
      </c>
      <c r="F6" s="9"/>
      <c r="G6" s="2"/>
      <c r="H6" s="2"/>
      <c r="I6" s="2" t="str">
        <f>IF(AND(G6&lt;&gt;"",H6&lt;&gt;""),H6/G6,"")</f>
        <v/>
      </c>
    </row>
    <row r="7" spans="1:9" ht="15" customHeight="1" x14ac:dyDescent="0.25">
      <c r="A7" s="7" t="s">
        <v>135</v>
      </c>
      <c r="B7" s="11">
        <v>507</v>
      </c>
      <c r="C7" s="11">
        <v>14</v>
      </c>
      <c r="D7" s="11">
        <v>13</v>
      </c>
      <c r="E7" s="12">
        <f>IF(AND(C7&lt;&gt;"",D7&lt;&gt;""),D7/C7,"")</f>
        <v>0.9285714285714286</v>
      </c>
      <c r="F7" s="9"/>
      <c r="G7" s="2"/>
      <c r="H7" s="2"/>
      <c r="I7" s="2" t="str">
        <f>IF(AND(G7&lt;&gt;"",H7&lt;&gt;""),H7/G7,"")</f>
        <v/>
      </c>
    </row>
    <row r="8" spans="1:9" ht="15" customHeight="1" x14ac:dyDescent="0.25">
      <c r="A8" s="7" t="s">
        <v>136</v>
      </c>
      <c r="B8" s="11">
        <v>508</v>
      </c>
      <c r="C8" s="11">
        <v>20</v>
      </c>
      <c r="D8" s="11">
        <v>12</v>
      </c>
      <c r="E8" s="12">
        <f>IF(AND(C8&lt;&gt;"",D8&lt;&gt;""),D8/C8,"")</f>
        <v>0.6</v>
      </c>
      <c r="F8" s="9"/>
      <c r="G8" s="2"/>
      <c r="H8" s="2"/>
      <c r="I8" s="2" t="str">
        <f>IF(AND(G8&lt;&gt;"",H8&lt;&gt;""),H8/G8,"")</f>
        <v/>
      </c>
    </row>
    <row r="9" spans="1:9" x14ac:dyDescent="0.25">
      <c r="A9" s="10" t="s">
        <v>137</v>
      </c>
      <c r="B9" s="9"/>
      <c r="C9" s="9"/>
      <c r="D9" s="9"/>
      <c r="E9" s="9"/>
      <c r="F9" s="9"/>
      <c r="G9" s="9"/>
      <c r="H9" s="9"/>
      <c r="I9" s="9"/>
    </row>
    <row r="10" spans="1:9" ht="15" customHeight="1" x14ac:dyDescent="0.25">
      <c r="A10" s="7" t="s">
        <v>138</v>
      </c>
      <c r="B10" s="11">
        <v>509</v>
      </c>
      <c r="C10" s="11">
        <v>34</v>
      </c>
      <c r="D10" s="11">
        <v>25</v>
      </c>
      <c r="E10" s="12">
        <f>IF(AND(C10&lt;&gt;"",D10&lt;&gt;""),D10/C10,"")</f>
        <v>0.73529411764705888</v>
      </c>
      <c r="F10" s="9"/>
      <c r="G10" s="2"/>
      <c r="H10" s="2"/>
      <c r="I10" s="2" t="str">
        <f>IF(AND(G10&lt;&gt;"",H10&lt;&gt;""),H10/G10,"")</f>
        <v/>
      </c>
    </row>
    <row r="11" spans="1:9" ht="15" customHeight="1" x14ac:dyDescent="0.25">
      <c r="A11" s="7" t="s">
        <v>139</v>
      </c>
      <c r="B11" s="11">
        <v>510</v>
      </c>
      <c r="C11" s="11">
        <v>35</v>
      </c>
      <c r="D11" s="11">
        <v>25</v>
      </c>
      <c r="E11" s="12">
        <f>IF(AND(C11&lt;&gt;"",D11&lt;&gt;""),D11/C11,"")</f>
        <v>0.7142857142857143</v>
      </c>
      <c r="F11" s="9"/>
      <c r="G11" s="2"/>
      <c r="H11" s="2"/>
      <c r="I11" s="2" t="str">
        <f>IF(AND(G11&lt;&gt;"",H11&lt;&gt;""),H11/G11,"")</f>
        <v/>
      </c>
    </row>
    <row r="12" spans="1:9" ht="15" customHeight="1" x14ac:dyDescent="0.25">
      <c r="A12" s="7" t="s">
        <v>140</v>
      </c>
      <c r="B12" s="11">
        <v>512</v>
      </c>
      <c r="C12" s="11">
        <v>45</v>
      </c>
      <c r="D12" s="11">
        <v>37</v>
      </c>
      <c r="E12" s="12">
        <f>IF(AND(C12&lt;&gt;"",D12&lt;&gt;""),D12/C12,"")</f>
        <v>0.82222222222222219</v>
      </c>
      <c r="F12" s="9"/>
      <c r="G12" s="2"/>
      <c r="H12" s="2"/>
      <c r="I12" s="2" t="str">
        <f>IF(AND(G12&lt;&gt;"",H12&lt;&gt;""),H12/G12,"")</f>
        <v/>
      </c>
    </row>
    <row r="13" spans="1:9" x14ac:dyDescent="0.25">
      <c r="A13" s="10" t="s">
        <v>141</v>
      </c>
      <c r="B13" s="9"/>
      <c r="C13" s="9"/>
      <c r="D13" s="9"/>
      <c r="E13" s="9"/>
      <c r="F13" s="9"/>
      <c r="G13" s="9"/>
      <c r="H13" s="9"/>
      <c r="I13" s="9"/>
    </row>
    <row r="14" spans="1:9" ht="15" customHeight="1" x14ac:dyDescent="0.25">
      <c r="A14" s="7" t="s">
        <v>142</v>
      </c>
      <c r="B14" s="11">
        <v>513</v>
      </c>
      <c r="C14" s="11">
        <v>11</v>
      </c>
      <c r="D14" s="11">
        <v>10</v>
      </c>
      <c r="E14" s="12">
        <f t="shared" ref="E14:E19" si="0">IF(AND(C14&lt;&gt;"",D14&lt;&gt;""),D14/C14,"")</f>
        <v>0.90909090909090906</v>
      </c>
      <c r="F14" s="9"/>
      <c r="G14" s="2"/>
      <c r="H14" s="2"/>
      <c r="I14" s="2" t="str">
        <f t="shared" ref="I14:I19" si="1">IF(AND(G14&lt;&gt;"",H14&lt;&gt;""),H14/G14,"")</f>
        <v/>
      </c>
    </row>
    <row r="15" spans="1:9" ht="15" customHeight="1" x14ac:dyDescent="0.25">
      <c r="A15" s="7" t="s">
        <v>143</v>
      </c>
      <c r="B15" s="11">
        <v>514</v>
      </c>
      <c r="C15" s="11">
        <v>37</v>
      </c>
      <c r="D15" s="11">
        <v>30</v>
      </c>
      <c r="E15" s="12">
        <f t="shared" si="0"/>
        <v>0.81081081081081086</v>
      </c>
      <c r="F15" s="9"/>
      <c r="G15" s="2"/>
      <c r="H15" s="2"/>
      <c r="I15" s="2" t="str">
        <f t="shared" si="1"/>
        <v/>
      </c>
    </row>
    <row r="16" spans="1:9" ht="15" customHeight="1" x14ac:dyDescent="0.25">
      <c r="A16" s="7" t="s">
        <v>144</v>
      </c>
      <c r="B16" s="11">
        <v>515</v>
      </c>
      <c r="C16" s="11">
        <v>15</v>
      </c>
      <c r="D16" s="11">
        <v>11</v>
      </c>
      <c r="E16" s="12">
        <f t="shared" si="0"/>
        <v>0.73333333333333328</v>
      </c>
      <c r="F16" s="9"/>
      <c r="G16" s="2"/>
      <c r="H16" s="2"/>
      <c r="I16" s="2" t="str">
        <f t="shared" si="1"/>
        <v/>
      </c>
    </row>
    <row r="17" spans="1:9" ht="15" customHeight="1" x14ac:dyDescent="0.25">
      <c r="A17" s="7" t="s">
        <v>145</v>
      </c>
      <c r="B17" s="11">
        <v>516</v>
      </c>
      <c r="C17" s="11">
        <v>12</v>
      </c>
      <c r="D17" s="11">
        <v>9</v>
      </c>
      <c r="E17" s="12">
        <f t="shared" si="0"/>
        <v>0.75</v>
      </c>
      <c r="F17" s="9"/>
      <c r="G17" s="2"/>
      <c r="H17" s="2"/>
      <c r="I17" s="2" t="str">
        <f t="shared" si="1"/>
        <v/>
      </c>
    </row>
    <row r="18" spans="1:9" ht="15" customHeight="1" x14ac:dyDescent="0.25">
      <c r="A18" s="7" t="s">
        <v>146</v>
      </c>
      <c r="B18" s="11">
        <v>516</v>
      </c>
      <c r="C18" s="11">
        <v>35</v>
      </c>
      <c r="D18" s="11">
        <v>22</v>
      </c>
      <c r="E18" s="12">
        <f t="shared" si="0"/>
        <v>0.62857142857142856</v>
      </c>
      <c r="F18" s="9"/>
      <c r="G18" s="2"/>
      <c r="H18" s="2"/>
      <c r="I18" s="2" t="str">
        <f t="shared" si="1"/>
        <v/>
      </c>
    </row>
    <row r="19" spans="1:9" ht="15" customHeight="1" x14ac:dyDescent="0.25">
      <c r="A19" s="7" t="s">
        <v>147</v>
      </c>
      <c r="B19" s="11">
        <v>517</v>
      </c>
      <c r="C19" s="11">
        <v>20</v>
      </c>
      <c r="D19" s="11">
        <v>12</v>
      </c>
      <c r="E19" s="12">
        <f t="shared" si="0"/>
        <v>0.6</v>
      </c>
      <c r="F19" s="9"/>
      <c r="G19" s="2"/>
      <c r="H19" s="2"/>
      <c r="I19" s="2" t="str">
        <f t="shared" si="1"/>
        <v/>
      </c>
    </row>
    <row r="20" spans="1:9" x14ac:dyDescent="0.25">
      <c r="A20" s="10" t="s">
        <v>148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149</v>
      </c>
      <c r="B21" s="11">
        <v>518</v>
      </c>
      <c r="C21" s="11">
        <v>16</v>
      </c>
      <c r="D21" s="11">
        <v>12</v>
      </c>
      <c r="E21" s="12">
        <f>IF(AND(C21&lt;&gt;"",D21&lt;&gt;""),D21/C21,"")</f>
        <v>0.75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150</v>
      </c>
      <c r="B22" s="11">
        <v>518</v>
      </c>
      <c r="C22" s="11">
        <v>33</v>
      </c>
      <c r="D22" s="11">
        <v>25</v>
      </c>
      <c r="E22" s="12">
        <f>IF(AND(C22&lt;&gt;"",D22&lt;&gt;""),D22/C22,"")</f>
        <v>0.75757575757575757</v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151</v>
      </c>
      <c r="B23" s="11">
        <v>519</v>
      </c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ht="15" customHeight="1" x14ac:dyDescent="0.25">
      <c r="A24" s="7" t="s">
        <v>152</v>
      </c>
      <c r="B24" s="11">
        <v>520</v>
      </c>
      <c r="C24" s="11">
        <v>6</v>
      </c>
      <c r="D24" s="11">
        <v>6</v>
      </c>
      <c r="E24" s="12">
        <f>IF(AND(C24&lt;&gt;"",D24&lt;&gt;""),D24/C24,"")</f>
        <v>1</v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10" t="s">
        <v>153</v>
      </c>
      <c r="B25" s="9"/>
      <c r="C25" s="9"/>
      <c r="D25" s="9"/>
      <c r="E25" s="9"/>
      <c r="F25" s="9"/>
      <c r="G25" s="9"/>
      <c r="H25" s="9"/>
      <c r="I25" s="9"/>
    </row>
    <row r="26" spans="1:9" ht="15" customHeight="1" x14ac:dyDescent="0.25">
      <c r="A26" s="7" t="s">
        <v>154</v>
      </c>
      <c r="B26" s="11">
        <v>521</v>
      </c>
      <c r="C26" s="11">
        <v>24</v>
      </c>
      <c r="D26" s="11">
        <v>15</v>
      </c>
      <c r="E26" s="12">
        <f t="shared" ref="E26:E32" si="2">IF(AND(C26&lt;&gt;"",D26&lt;&gt;""),D26/C26,"")</f>
        <v>0.625</v>
      </c>
      <c r="F26" s="9"/>
      <c r="G26" s="2"/>
      <c r="H26" s="2"/>
      <c r="I26" s="2" t="str">
        <f t="shared" ref="I26:I32" si="3">IF(AND(G26&lt;&gt;"",H26&lt;&gt;""),H26/G26,"")</f>
        <v/>
      </c>
    </row>
    <row r="27" spans="1:9" ht="15" customHeight="1" x14ac:dyDescent="0.25">
      <c r="A27" s="7" t="s">
        <v>155</v>
      </c>
      <c r="B27" s="11">
        <v>521</v>
      </c>
      <c r="C27" s="11">
        <v>11</v>
      </c>
      <c r="D27" s="11">
        <v>8</v>
      </c>
      <c r="E27" s="12">
        <f t="shared" si="2"/>
        <v>0.72727272727272729</v>
      </c>
      <c r="F27" s="9"/>
      <c r="G27" s="2"/>
      <c r="H27" s="2"/>
      <c r="I27" s="2" t="str">
        <f t="shared" si="3"/>
        <v/>
      </c>
    </row>
    <row r="28" spans="1:9" ht="15" customHeight="1" x14ac:dyDescent="0.25">
      <c r="A28" s="7" t="s">
        <v>156</v>
      </c>
      <c r="B28" s="11">
        <v>522</v>
      </c>
      <c r="C28" s="11">
        <v>18</v>
      </c>
      <c r="D28" s="11">
        <v>12</v>
      </c>
      <c r="E28" s="12">
        <f t="shared" si="2"/>
        <v>0.66666666666666663</v>
      </c>
      <c r="F28" s="9"/>
      <c r="G28" s="2"/>
      <c r="H28" s="2"/>
      <c r="I28" s="2" t="str">
        <f t="shared" si="3"/>
        <v/>
      </c>
    </row>
    <row r="29" spans="1:9" ht="15" customHeight="1" x14ac:dyDescent="0.25">
      <c r="A29" s="7" t="s">
        <v>157</v>
      </c>
      <c r="B29" s="11">
        <v>523</v>
      </c>
      <c r="C29" s="11">
        <v>27</v>
      </c>
      <c r="D29" s="11">
        <v>22</v>
      </c>
      <c r="E29" s="12">
        <f t="shared" si="2"/>
        <v>0.81481481481481477</v>
      </c>
      <c r="F29" s="9"/>
      <c r="G29" s="2"/>
      <c r="H29" s="2"/>
      <c r="I29" s="2" t="str">
        <f t="shared" si="3"/>
        <v/>
      </c>
    </row>
    <row r="30" spans="1:9" ht="15" customHeight="1" x14ac:dyDescent="0.25">
      <c r="A30" s="7" t="s">
        <v>158</v>
      </c>
      <c r="B30" s="11">
        <v>524</v>
      </c>
      <c r="C30" s="11">
        <v>13</v>
      </c>
      <c r="D30" s="11">
        <v>7</v>
      </c>
      <c r="E30" s="12">
        <f t="shared" si="2"/>
        <v>0.53846153846153844</v>
      </c>
      <c r="F30" s="9"/>
      <c r="G30" s="2"/>
      <c r="H30" s="2"/>
      <c r="I30" s="2" t="str">
        <f t="shared" si="3"/>
        <v/>
      </c>
    </row>
    <row r="31" spans="1:9" ht="15" customHeight="1" x14ac:dyDescent="0.25">
      <c r="A31" s="7" t="s">
        <v>159</v>
      </c>
      <c r="B31" s="11">
        <v>525</v>
      </c>
      <c r="C31" s="11">
        <v>33</v>
      </c>
      <c r="D31" s="11">
        <v>31</v>
      </c>
      <c r="E31" s="12">
        <f t="shared" si="2"/>
        <v>0.93939393939393945</v>
      </c>
      <c r="F31" s="9"/>
      <c r="G31" s="2"/>
      <c r="H31" s="2"/>
      <c r="I31" s="2" t="str">
        <f t="shared" si="3"/>
        <v/>
      </c>
    </row>
    <row r="32" spans="1:9" ht="15" customHeight="1" x14ac:dyDescent="0.25">
      <c r="A32" s="7" t="s">
        <v>160</v>
      </c>
      <c r="B32" s="11">
        <v>525</v>
      </c>
      <c r="C32" s="11">
        <v>12</v>
      </c>
      <c r="D32" s="11">
        <v>10</v>
      </c>
      <c r="E32" s="12">
        <f t="shared" si="2"/>
        <v>0.83333333333333337</v>
      </c>
      <c r="F32" s="9"/>
      <c r="G32" s="2"/>
      <c r="H32" s="2"/>
      <c r="I32" s="2" t="str">
        <f t="shared" si="3"/>
        <v/>
      </c>
    </row>
    <row r="33" spans="1:9" x14ac:dyDescent="0.25">
      <c r="A33" s="10" t="s">
        <v>161</v>
      </c>
      <c r="B33" s="9"/>
      <c r="C33" s="9"/>
      <c r="D33" s="9"/>
      <c r="E33" s="9"/>
      <c r="F33" s="9"/>
      <c r="G33" s="9"/>
      <c r="H33" s="9"/>
      <c r="I33" s="9"/>
    </row>
    <row r="34" spans="1:9" ht="15" customHeight="1" x14ac:dyDescent="0.25">
      <c r="A34" s="7" t="s">
        <v>162</v>
      </c>
      <c r="B34" s="11">
        <v>526</v>
      </c>
      <c r="C34" s="11">
        <v>25</v>
      </c>
      <c r="D34" s="11">
        <v>20</v>
      </c>
      <c r="E34" s="12">
        <f>IF(AND(C34&lt;&gt;"",D34&lt;&gt;""),D34/C34,"")</f>
        <v>0.8</v>
      </c>
      <c r="F34" s="9"/>
      <c r="G34" s="2"/>
      <c r="H34" s="2"/>
      <c r="I34" s="2" t="str">
        <f>IF(AND(G34&lt;&gt;"",H34&lt;&gt;""),H34/G34,"")</f>
        <v/>
      </c>
    </row>
    <row r="35" spans="1:9" ht="15" customHeight="1" x14ac:dyDescent="0.25">
      <c r="A35" s="7" t="s">
        <v>163</v>
      </c>
      <c r="B35" s="11">
        <v>526</v>
      </c>
      <c r="C35" s="11">
        <v>20</v>
      </c>
      <c r="D35" s="11">
        <v>16</v>
      </c>
      <c r="E35" s="12">
        <f>IF(AND(C35&lt;&gt;"",D35&lt;&gt;""),D35/C35,"")</f>
        <v>0.8</v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10" t="s">
        <v>164</v>
      </c>
      <c r="B36" s="9"/>
      <c r="C36" s="9"/>
      <c r="D36" s="9"/>
      <c r="E36" s="9"/>
      <c r="F36" s="9"/>
      <c r="G36" s="9"/>
      <c r="H36" s="9"/>
      <c r="I36" s="9"/>
    </row>
    <row r="37" spans="1:9" ht="15" customHeight="1" x14ac:dyDescent="0.25">
      <c r="A37" s="7" t="s">
        <v>165</v>
      </c>
      <c r="B37" s="11">
        <v>526</v>
      </c>
      <c r="C37" s="11">
        <v>4</v>
      </c>
      <c r="D37" s="11">
        <v>4</v>
      </c>
      <c r="E37" s="12">
        <f>IF(AND(C37&lt;&gt;"",D37&lt;&gt;""),D37/C37,"")</f>
        <v>1</v>
      </c>
      <c r="F37" s="9"/>
      <c r="G37" s="2"/>
      <c r="H37" s="2"/>
      <c r="I37" s="2" t="str">
        <f>IF(AND(G37&lt;&gt;"",H37&lt;&gt;""),H37/G37,"")</f>
        <v/>
      </c>
    </row>
    <row r="38" spans="1:9" ht="15" customHeight="1" x14ac:dyDescent="0.25">
      <c r="A38" s="7" t="s">
        <v>166</v>
      </c>
      <c r="B38" s="11">
        <v>527</v>
      </c>
      <c r="C38" s="11">
        <v>17</v>
      </c>
      <c r="D38" s="11">
        <v>10</v>
      </c>
      <c r="E38" s="12">
        <f>IF(AND(C38&lt;&gt;"",D38&lt;&gt;""),D38/C38,"")</f>
        <v>0.58823529411764708</v>
      </c>
      <c r="F38" s="9"/>
      <c r="G38" s="2"/>
      <c r="H38" s="2"/>
      <c r="I38" s="2" t="str">
        <f>IF(AND(G38&lt;&gt;"",H38&lt;&gt;""),H38/G38,"")</f>
        <v/>
      </c>
    </row>
    <row r="39" spans="1:9" ht="15" customHeight="1" x14ac:dyDescent="0.25">
      <c r="A39" s="7" t="s">
        <v>167</v>
      </c>
      <c r="B39" s="11">
        <v>528</v>
      </c>
      <c r="C39" s="11">
        <v>55</v>
      </c>
      <c r="D39" s="11">
        <v>33</v>
      </c>
      <c r="E39" s="12">
        <f>IF(AND(C39&lt;&gt;"",D39&lt;&gt;""),D39/C39,"")</f>
        <v>0.6</v>
      </c>
      <c r="F39" s="9"/>
      <c r="G39" s="2"/>
      <c r="H39" s="2"/>
      <c r="I39" s="2" t="str">
        <f>IF(AND(G39&lt;&gt;"",H39&lt;&gt;""),H39/G39,"")</f>
        <v/>
      </c>
    </row>
    <row r="40" spans="1:9" x14ac:dyDescent="0.25">
      <c r="A40" s="8" t="s">
        <v>3</v>
      </c>
      <c r="B40" s="8"/>
      <c r="C40" s="8">
        <f>SUM(C5:C39)</f>
        <v>593</v>
      </c>
      <c r="D40" s="8">
        <f>SUM(D5:D39)</f>
        <v>438</v>
      </c>
      <c r="E40" s="8">
        <f>IF(C40&gt;0, D40/C40,"")</f>
        <v>0.73861720067453629</v>
      </c>
      <c r="F40" s="8"/>
      <c r="G40" s="8">
        <f>SUM(G5:G39)</f>
        <v>0</v>
      </c>
      <c r="H40" s="8">
        <f>SUM(H5:H39)</f>
        <v>0</v>
      </c>
      <c r="I40" s="8" t="str">
        <f>IF(G40&gt;0, H40/G40,"")</f>
        <v/>
      </c>
    </row>
    <row r="42" spans="1:9" x14ac:dyDescent="0.25">
      <c r="A42" s="5" t="s">
        <v>132</v>
      </c>
      <c r="B42" s="5"/>
      <c r="C42" s="5">
        <f>C40+G40</f>
        <v>593</v>
      </c>
      <c r="D42" s="5">
        <f>D40+H40</f>
        <v>438</v>
      </c>
      <c r="E42" s="5">
        <f>IF(C42&gt;0, D42/C42,"")</f>
        <v>0.73861720067453629</v>
      </c>
      <c r="F42" s="5"/>
      <c r="G42" s="5"/>
      <c r="H42" s="5"/>
      <c r="I42" s="5"/>
    </row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</sheetData>
  <mergeCells count="3">
    <mergeCell ref="G3:I3"/>
    <mergeCell ref="A1:I1"/>
    <mergeCell ref="A3:E3"/>
  </mergeCells>
  <phoneticPr fontId="8" type="noConversion"/>
  <conditionalFormatting sqref="E6:E8">
    <cfRule type="cellIs" dxfId="257" priority="22" operator="greaterThanOrEqual">
      <formula>0.9</formula>
    </cfRule>
    <cfRule type="cellIs" dxfId="256" priority="23" operator="between">
      <formula>0.8</formula>
      <formula>0.9</formula>
    </cfRule>
    <cfRule type="cellIs" dxfId="255" priority="24" operator="lessThan">
      <formula>0.8</formula>
    </cfRule>
  </conditionalFormatting>
  <conditionalFormatting sqref="E10:E12">
    <cfRule type="cellIs" dxfId="254" priority="19" operator="greaterThanOrEqual">
      <formula>0.9</formula>
    </cfRule>
    <cfRule type="cellIs" dxfId="253" priority="20" operator="between">
      <formula>0.8</formula>
      <formula>0.9</formula>
    </cfRule>
    <cfRule type="cellIs" dxfId="252" priority="21" operator="lessThan">
      <formula>0.8</formula>
    </cfRule>
  </conditionalFormatting>
  <conditionalFormatting sqref="E14:E19">
    <cfRule type="cellIs" dxfId="251" priority="16" operator="greaterThanOrEqual">
      <formula>0.9</formula>
    </cfRule>
    <cfRule type="cellIs" dxfId="250" priority="17" operator="between">
      <formula>0.8</formula>
      <formula>0.9</formula>
    </cfRule>
    <cfRule type="cellIs" dxfId="249" priority="18" operator="lessThan">
      <formula>0.8</formula>
    </cfRule>
  </conditionalFormatting>
  <conditionalFormatting sqref="E21:E24">
    <cfRule type="cellIs" dxfId="248" priority="10" operator="greaterThanOrEqual">
      <formula>0.9</formula>
    </cfRule>
    <cfRule type="cellIs" dxfId="247" priority="11" operator="between">
      <formula>0.8</formula>
      <formula>0.9</formula>
    </cfRule>
    <cfRule type="cellIs" dxfId="246" priority="12" operator="lessThan">
      <formula>0.8</formula>
    </cfRule>
  </conditionalFormatting>
  <conditionalFormatting sqref="E26:E32">
    <cfRule type="cellIs" dxfId="245" priority="7" operator="greaterThanOrEqual">
      <formula>0.9</formula>
    </cfRule>
    <cfRule type="cellIs" dxfId="244" priority="8" operator="between">
      <formula>0.8</formula>
      <formula>0.9</formula>
    </cfRule>
    <cfRule type="cellIs" dxfId="243" priority="9" operator="lessThan">
      <formula>0.8</formula>
    </cfRule>
  </conditionalFormatting>
  <conditionalFormatting sqref="E34:E35">
    <cfRule type="cellIs" dxfId="242" priority="4" operator="greaterThanOrEqual">
      <formula>0.9</formula>
    </cfRule>
    <cfRule type="cellIs" dxfId="241" priority="5" operator="between">
      <formula>0.8</formula>
      <formula>0.9</formula>
    </cfRule>
    <cfRule type="cellIs" dxfId="240" priority="6" operator="lessThan">
      <formula>0.8</formula>
    </cfRule>
  </conditionalFormatting>
  <conditionalFormatting sqref="E37:E39">
    <cfRule type="cellIs" dxfId="239" priority="2" operator="between">
      <formula>0.8</formula>
      <formula>0.9</formula>
    </cfRule>
    <cfRule type="cellIs" dxfId="238" priority="3" operator="lessThan">
      <formula>0.8</formula>
    </cfRule>
    <cfRule type="cellIs" dxfId="237" priority="1" operator="greaterThanOrEqual">
      <formula>0.9</formula>
    </cfRule>
  </conditionalFormatting>
  <conditionalFormatting sqref="E40">
    <cfRule type="cellIs" dxfId="236" priority="100" operator="greaterThanOrEqual">
      <formula>0.9</formula>
    </cfRule>
    <cfRule type="cellIs" dxfId="235" priority="101" operator="between">
      <formula>0.8</formula>
      <formula>0.9</formula>
    </cfRule>
    <cfRule type="cellIs" dxfId="234" priority="102" operator="lessThan">
      <formula>0.8</formula>
    </cfRule>
  </conditionalFormatting>
  <conditionalFormatting sqref="E42">
    <cfRule type="cellIs" dxfId="233" priority="112" operator="greaterThanOrEqual">
      <formula>0.9</formula>
    </cfRule>
    <cfRule type="cellIs" dxfId="232" priority="113" operator="between">
      <formula>0.8</formula>
      <formula>0.9</formula>
    </cfRule>
    <cfRule type="cellIs" dxfId="231" priority="114" operator="lessThan">
      <formula>0.8</formula>
    </cfRule>
  </conditionalFormatting>
  <conditionalFormatting sqref="I6:I8">
    <cfRule type="cellIs" dxfId="230" priority="115" operator="greaterThanOrEqual">
      <formula>0.9</formula>
    </cfRule>
    <cfRule type="cellIs" dxfId="229" priority="116" operator="between">
      <formula>0.8</formula>
      <formula>0.9</formula>
    </cfRule>
    <cfRule type="cellIs" dxfId="228" priority="117" operator="lessThan">
      <formula>0.8</formula>
    </cfRule>
  </conditionalFormatting>
  <conditionalFormatting sqref="I10:I12">
    <cfRule type="cellIs" dxfId="227" priority="124" operator="greaterThanOrEqual">
      <formula>0.9</formula>
    </cfRule>
    <cfRule type="cellIs" dxfId="226" priority="125" operator="between">
      <formula>0.8</formula>
      <formula>0.9</formula>
    </cfRule>
    <cfRule type="cellIs" dxfId="225" priority="126" operator="lessThan">
      <formula>0.8</formula>
    </cfRule>
  </conditionalFormatting>
  <conditionalFormatting sqref="I14:I19">
    <cfRule type="cellIs" dxfId="224" priority="133" operator="greaterThanOrEqual">
      <formula>0.9</formula>
    </cfRule>
    <cfRule type="cellIs" dxfId="223" priority="134" operator="between">
      <formula>0.8</formula>
      <formula>0.9</formula>
    </cfRule>
    <cfRule type="cellIs" dxfId="222" priority="135" operator="lessThan">
      <formula>0.8</formula>
    </cfRule>
  </conditionalFormatting>
  <conditionalFormatting sqref="I21:I24">
    <cfRule type="cellIs" dxfId="221" priority="151" operator="greaterThanOrEqual">
      <formula>0.9</formula>
    </cfRule>
    <cfRule type="cellIs" dxfId="220" priority="152" operator="between">
      <formula>0.8</formula>
      <formula>0.9</formula>
    </cfRule>
    <cfRule type="cellIs" dxfId="219" priority="153" operator="lessThan">
      <formula>0.8</formula>
    </cfRule>
  </conditionalFormatting>
  <conditionalFormatting sqref="I26:I32">
    <cfRule type="cellIs" dxfId="218" priority="163" operator="greaterThanOrEqual">
      <formula>0.9</formula>
    </cfRule>
    <cfRule type="cellIs" dxfId="217" priority="164" operator="between">
      <formula>0.8</formula>
      <formula>0.9</formula>
    </cfRule>
    <cfRule type="cellIs" dxfId="216" priority="165" operator="lessThan">
      <formula>0.8</formula>
    </cfRule>
  </conditionalFormatting>
  <conditionalFormatting sqref="I34:I35">
    <cfRule type="cellIs" dxfId="215" priority="184" operator="greaterThanOrEqual">
      <formula>0.9</formula>
    </cfRule>
    <cfRule type="cellIs" dxfId="214" priority="185" operator="between">
      <formula>0.8</formula>
      <formula>0.9</formula>
    </cfRule>
    <cfRule type="cellIs" dxfId="213" priority="186" operator="lessThan">
      <formula>0.8</formula>
    </cfRule>
  </conditionalFormatting>
  <conditionalFormatting sqref="I37:I40">
    <cfRule type="cellIs" dxfId="212" priority="190" operator="greaterThanOrEqual">
      <formula>0.9</formula>
    </cfRule>
    <cfRule type="cellIs" dxfId="211" priority="191" operator="between">
      <formula>0.8</formula>
      <formula>0.9</formula>
    </cfRule>
    <cfRule type="cellIs" dxfId="210" priority="192" operator="lessThan">
      <formula>0.8</formula>
    </cfRule>
  </conditionalFormatting>
  <conditionalFormatting sqref="I42">
    <cfRule type="cellIs" dxfId="209" priority="202" operator="greaterThanOrEqual">
      <formula>0.9</formula>
    </cfRule>
    <cfRule type="cellIs" dxfId="208" priority="203" operator="between">
      <formula>0.8</formula>
      <formula>0.9</formula>
    </cfRule>
    <cfRule type="cellIs" dxfId="207" priority="204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82"/>
  <sheetViews>
    <sheetView workbookViewId="0">
      <selection activeCell="C25" sqref="C25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36" t="s">
        <v>168</v>
      </c>
      <c r="B1" s="24"/>
      <c r="C1" s="24"/>
      <c r="D1" s="24"/>
      <c r="E1" s="24"/>
      <c r="F1" s="24"/>
      <c r="G1" s="24"/>
      <c r="H1" s="24"/>
      <c r="I1" s="24"/>
    </row>
    <row r="3" spans="1:9" x14ac:dyDescent="0.25">
      <c r="A3" s="38" t="s">
        <v>104</v>
      </c>
      <c r="B3" s="34"/>
      <c r="C3" s="34"/>
      <c r="D3" s="34"/>
      <c r="E3" s="35"/>
      <c r="F3" s="9"/>
      <c r="G3" s="37" t="s">
        <v>105</v>
      </c>
      <c r="H3" s="34"/>
      <c r="I3" s="35"/>
    </row>
    <row r="4" spans="1:9" x14ac:dyDescent="0.25">
      <c r="A4" s="1" t="s">
        <v>106</v>
      </c>
      <c r="B4" s="1" t="s">
        <v>44</v>
      </c>
      <c r="C4" s="1" t="s">
        <v>45</v>
      </c>
      <c r="D4" s="1" t="s">
        <v>6</v>
      </c>
      <c r="E4" s="1" t="s">
        <v>7</v>
      </c>
      <c r="F4" s="9"/>
      <c r="G4" s="1" t="s">
        <v>107</v>
      </c>
      <c r="H4" s="1" t="s">
        <v>108</v>
      </c>
      <c r="I4" s="1" t="s">
        <v>7</v>
      </c>
    </row>
    <row r="5" spans="1:9" x14ac:dyDescent="0.25">
      <c r="A5" s="10" t="s">
        <v>169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170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171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172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173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174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175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176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177</v>
      </c>
      <c r="B13" s="2"/>
      <c r="C13" s="2"/>
      <c r="D13" s="2"/>
      <c r="E13" s="2" t="str">
        <f>IF(AND(C13&lt;&gt;"",D13&lt;&gt;""),D13/C13,"")</f>
        <v/>
      </c>
      <c r="F13" s="9"/>
      <c r="G13" s="2"/>
      <c r="H13" s="2"/>
      <c r="I13" s="2" t="str">
        <f>IF(AND(G13&lt;&gt;"",H13&lt;&gt;""),H13/G13,"")</f>
        <v/>
      </c>
    </row>
    <row r="14" spans="1:9" x14ac:dyDescent="0.25">
      <c r="A14" s="7" t="s">
        <v>178</v>
      </c>
      <c r="B14" s="2"/>
      <c r="C14" s="2"/>
      <c r="D14" s="2"/>
      <c r="E14" s="2" t="str">
        <f>IF(AND(C14&lt;&gt;"",D14&lt;&gt;""),D14/C14,"")</f>
        <v/>
      </c>
      <c r="F14" s="9"/>
      <c r="G14" s="2"/>
      <c r="H14" s="2"/>
      <c r="I14" s="2" t="str">
        <f>IF(AND(G14&lt;&gt;"",H14&lt;&gt;""),H14/G14,"")</f>
        <v/>
      </c>
    </row>
    <row r="15" spans="1:9" x14ac:dyDescent="0.25">
      <c r="A15" s="7" t="s">
        <v>179</v>
      </c>
      <c r="B15" s="2"/>
      <c r="C15" s="2"/>
      <c r="D15" s="2"/>
      <c r="E15" s="2" t="str">
        <f>IF(AND(C15&lt;&gt;"",D15&lt;&gt;""),D15/C15,"")</f>
        <v/>
      </c>
      <c r="F15" s="9"/>
      <c r="G15" s="2"/>
      <c r="H15" s="2"/>
      <c r="I15" s="2" t="str">
        <f>IF(AND(G15&lt;&gt;"",H15&lt;&gt;""),H15/G15,"")</f>
        <v/>
      </c>
    </row>
    <row r="16" spans="1:9" x14ac:dyDescent="0.25">
      <c r="A16" s="7" t="s">
        <v>180</v>
      </c>
      <c r="B16" s="2"/>
      <c r="C16" s="2"/>
      <c r="D16" s="2"/>
      <c r="E16" s="2" t="str">
        <f>IF(AND(C16&lt;&gt;"",D16&lt;&gt;""),D16/C16,"")</f>
        <v/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181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182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183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184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185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186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187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7" t="s">
        <v>188</v>
      </c>
      <c r="B24" s="2"/>
      <c r="C24" s="2"/>
      <c r="D24" s="2"/>
      <c r="E24" s="2" t="str">
        <f>IF(AND(C24&lt;&gt;"",D24&lt;&gt;""),D24/C24,"")</f>
        <v/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7" t="s">
        <v>189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10" t="s">
        <v>190</v>
      </c>
      <c r="B26" s="9"/>
      <c r="C26" s="9"/>
      <c r="D26" s="9"/>
      <c r="E26" s="9"/>
      <c r="F26" s="9"/>
      <c r="G26" s="9"/>
      <c r="H26" s="9"/>
      <c r="I26" s="9"/>
    </row>
    <row r="27" spans="1:9" x14ac:dyDescent="0.25">
      <c r="A27" s="7" t="s">
        <v>191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7" t="s">
        <v>192</v>
      </c>
      <c r="B28" s="2"/>
      <c r="C28" s="2"/>
      <c r="D28" s="2"/>
      <c r="E28" s="2" t="str">
        <f>IF(AND(C28&lt;&gt;"",D28&lt;&gt;""),D28/C28,"")</f>
        <v/>
      </c>
      <c r="F28" s="9"/>
      <c r="G28" s="2"/>
      <c r="H28" s="2"/>
      <c r="I28" s="2" t="str">
        <f>IF(AND(G28&lt;&gt;"",H28&lt;&gt;""),H28/G28,"")</f>
        <v/>
      </c>
    </row>
    <row r="29" spans="1:9" x14ac:dyDescent="0.25">
      <c r="A29" s="7" t="s">
        <v>193</v>
      </c>
      <c r="B29" s="2"/>
      <c r="C29" s="2"/>
      <c r="D29" s="2"/>
      <c r="E29" s="2" t="str">
        <f>IF(AND(C29&lt;&gt;"",D29&lt;&gt;""),D29/C29,"")</f>
        <v/>
      </c>
      <c r="F29" s="9"/>
      <c r="G29" s="2"/>
      <c r="H29" s="2"/>
      <c r="I29" s="2" t="str">
        <f>IF(AND(G29&lt;&gt;"",H29&lt;&gt;""),H29/G29,"")</f>
        <v/>
      </c>
    </row>
    <row r="30" spans="1:9" x14ac:dyDescent="0.25">
      <c r="A30" s="7" t="s">
        <v>194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10" t="s">
        <v>195</v>
      </c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7" t="s">
        <v>196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7" t="s">
        <v>197</v>
      </c>
      <c r="B33" s="2"/>
      <c r="C33" s="2"/>
      <c r="D33" s="2"/>
      <c r="E33" s="2" t="str">
        <f>IF(AND(C33&lt;&gt;"",D33&lt;&gt;""),D33/C33,"")</f>
        <v/>
      </c>
      <c r="F33" s="9"/>
      <c r="G33" s="2"/>
      <c r="H33" s="2"/>
      <c r="I33" s="2" t="str">
        <f>IF(AND(G33&lt;&gt;"",H33&lt;&gt;""),H33/G33,"")</f>
        <v/>
      </c>
    </row>
    <row r="34" spans="1:9" x14ac:dyDescent="0.25">
      <c r="A34" s="7" t="s">
        <v>198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199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200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10" t="s">
        <v>201</v>
      </c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7" t="s">
        <v>202</v>
      </c>
      <c r="B38" s="2"/>
      <c r="C38" s="2"/>
      <c r="D38" s="2"/>
      <c r="E38" s="2" t="str">
        <f t="shared" ref="E38:E44" si="0">IF(AND(C38&lt;&gt;"",D38&lt;&gt;""),D38/C38,"")</f>
        <v/>
      </c>
      <c r="F38" s="9"/>
      <c r="G38" s="2"/>
      <c r="H38" s="2"/>
      <c r="I38" s="2" t="str">
        <f t="shared" ref="I38:I44" si="1">IF(AND(G38&lt;&gt;"",H38&lt;&gt;""),H38/G38,"")</f>
        <v/>
      </c>
    </row>
    <row r="39" spans="1:9" x14ac:dyDescent="0.25">
      <c r="A39" s="7" t="s">
        <v>203</v>
      </c>
      <c r="B39" s="2"/>
      <c r="C39" s="2"/>
      <c r="D39" s="2"/>
      <c r="E39" s="2" t="str">
        <f t="shared" si="0"/>
        <v/>
      </c>
      <c r="F39" s="9"/>
      <c r="G39" s="2"/>
      <c r="H39" s="2"/>
      <c r="I39" s="2" t="str">
        <f t="shared" si="1"/>
        <v/>
      </c>
    </row>
    <row r="40" spans="1:9" x14ac:dyDescent="0.25">
      <c r="A40" s="7" t="s">
        <v>204</v>
      </c>
      <c r="B40" s="2"/>
      <c r="C40" s="2"/>
      <c r="D40" s="2"/>
      <c r="E40" s="2" t="str">
        <f t="shared" si="0"/>
        <v/>
      </c>
      <c r="F40" s="9"/>
      <c r="G40" s="2"/>
      <c r="H40" s="2"/>
      <c r="I40" s="2" t="str">
        <f t="shared" si="1"/>
        <v/>
      </c>
    </row>
    <row r="41" spans="1:9" x14ac:dyDescent="0.25">
      <c r="A41" s="7" t="s">
        <v>205</v>
      </c>
      <c r="B41" s="2"/>
      <c r="C41" s="2"/>
      <c r="D41" s="2"/>
      <c r="E41" s="2" t="str">
        <f t="shared" si="0"/>
        <v/>
      </c>
      <c r="F41" s="9"/>
      <c r="G41" s="2"/>
      <c r="H41" s="2"/>
      <c r="I41" s="2" t="str">
        <f t="shared" si="1"/>
        <v/>
      </c>
    </row>
    <row r="42" spans="1:9" x14ac:dyDescent="0.25">
      <c r="A42" s="7" t="s">
        <v>206</v>
      </c>
      <c r="B42" s="2"/>
      <c r="C42" s="2"/>
      <c r="D42" s="2"/>
      <c r="E42" s="2" t="str">
        <f t="shared" si="0"/>
        <v/>
      </c>
      <c r="F42" s="9"/>
      <c r="G42" s="2"/>
      <c r="H42" s="2"/>
      <c r="I42" s="2" t="str">
        <f t="shared" si="1"/>
        <v/>
      </c>
    </row>
    <row r="43" spans="1:9" x14ac:dyDescent="0.25">
      <c r="A43" s="7" t="s">
        <v>207</v>
      </c>
      <c r="B43" s="2"/>
      <c r="C43" s="2"/>
      <c r="D43" s="2"/>
      <c r="E43" s="2" t="str">
        <f t="shared" si="0"/>
        <v/>
      </c>
      <c r="F43" s="9"/>
      <c r="G43" s="2"/>
      <c r="H43" s="2"/>
      <c r="I43" s="2" t="str">
        <f t="shared" si="1"/>
        <v/>
      </c>
    </row>
    <row r="44" spans="1:9" x14ac:dyDescent="0.25">
      <c r="A44" s="7" t="s">
        <v>208</v>
      </c>
      <c r="B44" s="2"/>
      <c r="C44" s="2"/>
      <c r="D44" s="2"/>
      <c r="E44" s="2" t="str">
        <f t="shared" si="0"/>
        <v/>
      </c>
      <c r="F44" s="9"/>
      <c r="G44" s="2"/>
      <c r="H44" s="2"/>
      <c r="I44" s="2" t="str">
        <f t="shared" si="1"/>
        <v/>
      </c>
    </row>
    <row r="45" spans="1:9" x14ac:dyDescent="0.25">
      <c r="A45" s="8" t="s">
        <v>3</v>
      </c>
      <c r="B45" s="8"/>
      <c r="C45" s="8">
        <f>SUM(C5:C44)</f>
        <v>0</v>
      </c>
      <c r="D45" s="8">
        <f>SUM(D5:D44)</f>
        <v>0</v>
      </c>
      <c r="E45" s="8" t="str">
        <f>IF(C45&gt;0, D45/C45,"")</f>
        <v/>
      </c>
      <c r="F45" s="8"/>
      <c r="G45" s="8">
        <f>SUM(G5:G44)</f>
        <v>0</v>
      </c>
      <c r="H45" s="8">
        <f>SUM(H5:H44)</f>
        <v>0</v>
      </c>
      <c r="I45" s="8" t="str">
        <f>IF(G45&gt;0, H45/G45,"")</f>
        <v/>
      </c>
    </row>
    <row r="47" spans="1:9" x14ac:dyDescent="0.25">
      <c r="A47" s="5" t="s">
        <v>132</v>
      </c>
      <c r="B47" s="5"/>
      <c r="C47" s="5">
        <f>C45+G45</f>
        <v>0</v>
      </c>
      <c r="D47" s="5">
        <f>D45+H45</f>
        <v>0</v>
      </c>
      <c r="E47" s="5" t="str">
        <f>IF(C47&gt;0, D47/C47,"")</f>
        <v/>
      </c>
      <c r="F47" s="5"/>
      <c r="G47" s="5"/>
      <c r="H47" s="5"/>
      <c r="I47" s="5"/>
    </row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206" priority="1" operator="greaterThanOrEqual">
      <formula>0.9</formula>
    </cfRule>
    <cfRule type="cellIs" dxfId="205" priority="2" operator="between">
      <formula>0.8</formula>
      <formula>0.9</formula>
    </cfRule>
    <cfRule type="cellIs" dxfId="204" priority="3" operator="lessThan">
      <formula>0.8</formula>
    </cfRule>
  </conditionalFormatting>
  <conditionalFormatting sqref="E9:E11">
    <cfRule type="cellIs" dxfId="203" priority="7" operator="greaterThanOrEqual">
      <formula>0.9</formula>
    </cfRule>
    <cfRule type="cellIs" dxfId="202" priority="8" operator="between">
      <formula>0.8</formula>
      <formula>0.9</formula>
    </cfRule>
    <cfRule type="cellIs" dxfId="201" priority="9" operator="lessThan">
      <formula>0.8</formula>
    </cfRule>
  </conditionalFormatting>
  <conditionalFormatting sqref="E13:E16">
    <cfRule type="cellIs" dxfId="200" priority="16" operator="greaterThanOrEqual">
      <formula>0.9</formula>
    </cfRule>
    <cfRule type="cellIs" dxfId="199" priority="17" operator="between">
      <formula>0.8</formula>
      <formula>0.9</formula>
    </cfRule>
    <cfRule type="cellIs" dxfId="198" priority="18" operator="lessThan">
      <formula>0.8</formula>
    </cfRule>
  </conditionalFormatting>
  <conditionalFormatting sqref="E18:E19">
    <cfRule type="cellIs" dxfId="197" priority="28" operator="greaterThanOrEqual">
      <formula>0.9</formula>
    </cfRule>
    <cfRule type="cellIs" dxfId="196" priority="29" operator="between">
      <formula>0.8</formula>
      <formula>0.9</formula>
    </cfRule>
    <cfRule type="cellIs" dxfId="195" priority="30" operator="lessThan">
      <formula>0.8</formula>
    </cfRule>
  </conditionalFormatting>
  <conditionalFormatting sqref="E21:E25">
    <cfRule type="cellIs" dxfId="194" priority="34" operator="greaterThanOrEqual">
      <formula>0.9</formula>
    </cfRule>
    <cfRule type="cellIs" dxfId="193" priority="35" operator="between">
      <formula>0.8</formula>
      <formula>0.9</formula>
    </cfRule>
    <cfRule type="cellIs" dxfId="192" priority="36" operator="lessThan">
      <formula>0.8</formula>
    </cfRule>
  </conditionalFormatting>
  <conditionalFormatting sqref="E27:E30">
    <cfRule type="cellIs" dxfId="191" priority="49" operator="greaterThanOrEqual">
      <formula>0.9</formula>
    </cfRule>
    <cfRule type="cellIs" dxfId="190" priority="50" operator="between">
      <formula>0.8</formula>
      <formula>0.9</formula>
    </cfRule>
    <cfRule type="cellIs" dxfId="189" priority="51" operator="lessThan">
      <formula>0.8</formula>
    </cfRule>
  </conditionalFormatting>
  <conditionalFormatting sqref="E32:E36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E38:E45">
    <cfRule type="cellIs" dxfId="185" priority="76" operator="greaterThanOrEqual">
      <formula>0.9</formula>
    </cfRule>
    <cfRule type="cellIs" dxfId="184" priority="77" operator="between">
      <formula>0.8</formula>
      <formula>0.9</formula>
    </cfRule>
    <cfRule type="cellIs" dxfId="183" priority="78" operator="lessThan">
      <formula>0.8</formula>
    </cfRule>
  </conditionalFormatting>
  <conditionalFormatting sqref="E47">
    <cfRule type="cellIs" dxfId="182" priority="100" operator="greaterThanOrEqual">
      <formula>0.9</formula>
    </cfRule>
    <cfRule type="cellIs" dxfId="181" priority="101" operator="between">
      <formula>0.8</formula>
      <formula>0.9</formula>
    </cfRule>
    <cfRule type="cellIs" dxfId="180" priority="102" operator="lessThan">
      <formula>0.8</formula>
    </cfRule>
  </conditionalFormatting>
  <conditionalFormatting sqref="I6:I7">
    <cfRule type="cellIs" dxfId="179" priority="103" operator="greaterThanOrEqual">
      <formula>0.9</formula>
    </cfRule>
    <cfRule type="cellIs" dxfId="178" priority="104" operator="between">
      <formula>0.8</formula>
      <formula>0.9</formula>
    </cfRule>
    <cfRule type="cellIs" dxfId="177" priority="105" operator="lessThan">
      <formula>0.8</formula>
    </cfRule>
  </conditionalFormatting>
  <conditionalFormatting sqref="I9:I11">
    <cfRule type="cellIs" dxfId="176" priority="109" operator="greaterThanOrEqual">
      <formula>0.9</formula>
    </cfRule>
    <cfRule type="cellIs" dxfId="175" priority="110" operator="between">
      <formula>0.8</formula>
      <formula>0.9</formula>
    </cfRule>
    <cfRule type="cellIs" dxfId="174" priority="111" operator="lessThan">
      <formula>0.8</formula>
    </cfRule>
  </conditionalFormatting>
  <conditionalFormatting sqref="I13:I16">
    <cfRule type="cellIs" dxfId="173" priority="118" operator="greaterThanOrEqual">
      <formula>0.9</formula>
    </cfRule>
    <cfRule type="cellIs" dxfId="172" priority="119" operator="between">
      <formula>0.8</formula>
      <formula>0.9</formula>
    </cfRule>
    <cfRule type="cellIs" dxfId="171" priority="120" operator="lessThan">
      <formula>0.8</formula>
    </cfRule>
  </conditionalFormatting>
  <conditionalFormatting sqref="I18:I19">
    <cfRule type="cellIs" dxfId="170" priority="130" operator="greaterThanOrEqual">
      <formula>0.9</formula>
    </cfRule>
    <cfRule type="cellIs" dxfId="169" priority="131" operator="between">
      <formula>0.8</formula>
      <formula>0.9</formula>
    </cfRule>
    <cfRule type="cellIs" dxfId="168" priority="132" operator="lessThan">
      <formula>0.8</formula>
    </cfRule>
  </conditionalFormatting>
  <conditionalFormatting sqref="I21:I25">
    <cfRule type="cellIs" dxfId="167" priority="136" operator="greaterThanOrEqual">
      <formula>0.9</formula>
    </cfRule>
    <cfRule type="cellIs" dxfId="166" priority="137" operator="between">
      <formula>0.8</formula>
      <formula>0.9</formula>
    </cfRule>
    <cfRule type="cellIs" dxfId="165" priority="138" operator="lessThan">
      <formula>0.8</formula>
    </cfRule>
  </conditionalFormatting>
  <conditionalFormatting sqref="I27:I30">
    <cfRule type="cellIs" dxfId="164" priority="151" operator="greaterThanOrEqual">
      <formula>0.9</formula>
    </cfRule>
    <cfRule type="cellIs" dxfId="163" priority="152" operator="between">
      <formula>0.8</formula>
      <formula>0.9</formula>
    </cfRule>
    <cfRule type="cellIs" dxfId="162" priority="153" operator="lessThan">
      <formula>0.8</formula>
    </cfRule>
  </conditionalFormatting>
  <conditionalFormatting sqref="I32:I36">
    <cfRule type="cellIs" dxfId="161" priority="163" operator="greaterThanOrEqual">
      <formula>0.9</formula>
    </cfRule>
    <cfRule type="cellIs" dxfId="160" priority="164" operator="between">
      <formula>0.8</formula>
      <formula>0.9</formula>
    </cfRule>
    <cfRule type="cellIs" dxfId="159" priority="165" operator="lessThan">
      <formula>0.8</formula>
    </cfRule>
  </conditionalFormatting>
  <conditionalFormatting sqref="I38:I45">
    <cfRule type="cellIs" dxfId="158" priority="178" operator="greaterThanOrEqual">
      <formula>0.9</formula>
    </cfRule>
    <cfRule type="cellIs" dxfId="157" priority="179" operator="between">
      <formula>0.8</formula>
      <formula>0.9</formula>
    </cfRule>
    <cfRule type="cellIs" dxfId="156" priority="180" operator="lessThan">
      <formula>0.8</formula>
    </cfRule>
  </conditionalFormatting>
  <conditionalFormatting sqref="I47">
    <cfRule type="cellIs" dxfId="155" priority="202" operator="greaterThanOrEqual">
      <formula>0.9</formula>
    </cfRule>
    <cfRule type="cellIs" dxfId="154" priority="203" operator="between">
      <formula>0.8</formula>
      <formula>0.9</formula>
    </cfRule>
    <cfRule type="cellIs" dxfId="153" priority="204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36" t="s">
        <v>209</v>
      </c>
      <c r="B1" s="24"/>
      <c r="C1" s="24"/>
      <c r="D1" s="24"/>
      <c r="E1" s="24"/>
      <c r="F1" s="24"/>
      <c r="G1" s="24"/>
      <c r="H1" s="24"/>
      <c r="I1" s="24"/>
    </row>
    <row r="3" spans="1:9" x14ac:dyDescent="0.25">
      <c r="A3" s="38" t="s">
        <v>104</v>
      </c>
      <c r="B3" s="34"/>
      <c r="C3" s="34"/>
      <c r="D3" s="34"/>
      <c r="E3" s="35"/>
      <c r="F3" s="9"/>
      <c r="G3" s="37" t="s">
        <v>105</v>
      </c>
      <c r="H3" s="34"/>
      <c r="I3" s="35"/>
    </row>
    <row r="4" spans="1:9" x14ac:dyDescent="0.25">
      <c r="A4" s="1" t="s">
        <v>106</v>
      </c>
      <c r="B4" s="1" t="s">
        <v>44</v>
      </c>
      <c r="C4" s="1" t="s">
        <v>45</v>
      </c>
      <c r="D4" s="1" t="s">
        <v>6</v>
      </c>
      <c r="E4" s="1" t="s">
        <v>7</v>
      </c>
      <c r="F4" s="9"/>
      <c r="G4" s="1" t="s">
        <v>107</v>
      </c>
      <c r="H4" s="1" t="s">
        <v>108</v>
      </c>
      <c r="I4" s="1" t="s">
        <v>7</v>
      </c>
    </row>
    <row r="5" spans="1:9" x14ac:dyDescent="0.25">
      <c r="A5" s="10" t="s">
        <v>210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211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212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213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214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215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216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217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218</v>
      </c>
      <c r="B13" s="2"/>
      <c r="C13" s="2"/>
      <c r="D13" s="2"/>
      <c r="E13" s="2" t="str">
        <f t="shared" ref="E13:E20" si="0">IF(AND(C13&lt;&gt;"",D13&lt;&gt;""),D13/C13,"")</f>
        <v/>
      </c>
      <c r="F13" s="9"/>
      <c r="G13" s="2"/>
      <c r="H13" s="2"/>
      <c r="I13" s="2" t="str">
        <f t="shared" ref="I13:I20" si="1">IF(AND(G13&lt;&gt;"",H13&lt;&gt;""),H13/G13,"")</f>
        <v/>
      </c>
    </row>
    <row r="14" spans="1:9" x14ac:dyDescent="0.25">
      <c r="A14" s="7" t="s">
        <v>219</v>
      </c>
      <c r="B14" s="2"/>
      <c r="C14" s="2"/>
      <c r="D14" s="2"/>
      <c r="E14" s="2" t="str">
        <f t="shared" si="0"/>
        <v/>
      </c>
      <c r="F14" s="9"/>
      <c r="G14" s="2"/>
      <c r="H14" s="2"/>
      <c r="I14" s="2" t="str">
        <f t="shared" si="1"/>
        <v/>
      </c>
    </row>
    <row r="15" spans="1:9" x14ac:dyDescent="0.25">
      <c r="A15" s="7" t="s">
        <v>220</v>
      </c>
      <c r="B15" s="2"/>
      <c r="C15" s="2"/>
      <c r="D15" s="2"/>
      <c r="E15" s="2" t="str">
        <f t="shared" si="0"/>
        <v/>
      </c>
      <c r="F15" s="9"/>
      <c r="G15" s="2"/>
      <c r="H15" s="2"/>
      <c r="I15" s="2" t="str">
        <f t="shared" si="1"/>
        <v/>
      </c>
    </row>
    <row r="16" spans="1:9" x14ac:dyDescent="0.25">
      <c r="A16" s="7" t="s">
        <v>221</v>
      </c>
      <c r="B16" s="2"/>
      <c r="C16" s="2"/>
      <c r="D16" s="2"/>
      <c r="E16" s="2" t="str">
        <f t="shared" si="0"/>
        <v/>
      </c>
      <c r="F16" s="9"/>
      <c r="G16" s="2"/>
      <c r="H16" s="2"/>
      <c r="I16" s="2" t="str">
        <f t="shared" si="1"/>
        <v/>
      </c>
    </row>
    <row r="17" spans="1:9" x14ac:dyDescent="0.25">
      <c r="A17" s="7" t="s">
        <v>222</v>
      </c>
      <c r="B17" s="2"/>
      <c r="C17" s="2"/>
      <c r="D17" s="2"/>
      <c r="E17" s="2" t="str">
        <f t="shared" si="0"/>
        <v/>
      </c>
      <c r="F17" s="9"/>
      <c r="G17" s="2"/>
      <c r="H17" s="2"/>
      <c r="I17" s="2" t="str">
        <f t="shared" si="1"/>
        <v/>
      </c>
    </row>
    <row r="18" spans="1:9" x14ac:dyDescent="0.25">
      <c r="A18" s="7" t="s">
        <v>223</v>
      </c>
      <c r="B18" s="2"/>
      <c r="C18" s="2"/>
      <c r="D18" s="2"/>
      <c r="E18" s="2" t="str">
        <f t="shared" si="0"/>
        <v/>
      </c>
      <c r="F18" s="9"/>
      <c r="G18" s="2"/>
      <c r="H18" s="2"/>
      <c r="I18" s="2" t="str">
        <f t="shared" si="1"/>
        <v/>
      </c>
    </row>
    <row r="19" spans="1:9" x14ac:dyDescent="0.25">
      <c r="A19" s="7" t="s">
        <v>224</v>
      </c>
      <c r="B19" s="2"/>
      <c r="C19" s="2"/>
      <c r="D19" s="2"/>
      <c r="E19" s="2" t="str">
        <f t="shared" si="0"/>
        <v/>
      </c>
      <c r="F19" s="9"/>
      <c r="G19" s="2"/>
      <c r="H19" s="2"/>
      <c r="I19" s="2" t="str">
        <f t="shared" si="1"/>
        <v/>
      </c>
    </row>
    <row r="20" spans="1:9" x14ac:dyDescent="0.25">
      <c r="A20" s="7" t="s">
        <v>225</v>
      </c>
      <c r="B20" s="2"/>
      <c r="C20" s="2"/>
      <c r="D20" s="2"/>
      <c r="E20" s="2" t="str">
        <f t="shared" si="0"/>
        <v/>
      </c>
      <c r="F20" s="9"/>
      <c r="G20" s="2"/>
      <c r="H20" s="2"/>
      <c r="I20" s="2" t="str">
        <f t="shared" si="1"/>
        <v/>
      </c>
    </row>
    <row r="21" spans="1:9" x14ac:dyDescent="0.25">
      <c r="A21" s="10" t="s">
        <v>226</v>
      </c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7" t="s">
        <v>227</v>
      </c>
      <c r="B22" s="2"/>
      <c r="C22" s="2"/>
      <c r="D22" s="2"/>
      <c r="E22" s="2" t="str">
        <f t="shared" ref="E22:E28" si="2">IF(AND(C22&lt;&gt;"",D22&lt;&gt;""),D22/C22,"")</f>
        <v/>
      </c>
      <c r="F22" s="9"/>
      <c r="G22" s="2"/>
      <c r="H22" s="2"/>
      <c r="I22" s="2" t="str">
        <f t="shared" ref="I22:I28" si="3">IF(AND(G22&lt;&gt;"",H22&lt;&gt;""),H22/G22,"")</f>
        <v/>
      </c>
    </row>
    <row r="23" spans="1:9" x14ac:dyDescent="0.25">
      <c r="A23" s="7" t="s">
        <v>228</v>
      </c>
      <c r="B23" s="2"/>
      <c r="C23" s="2"/>
      <c r="D23" s="2"/>
      <c r="E23" s="2" t="str">
        <f t="shared" si="2"/>
        <v/>
      </c>
      <c r="F23" s="9"/>
      <c r="G23" s="2"/>
      <c r="H23" s="2"/>
      <c r="I23" s="2" t="str">
        <f t="shared" si="3"/>
        <v/>
      </c>
    </row>
    <row r="24" spans="1:9" x14ac:dyDescent="0.25">
      <c r="A24" s="7" t="s">
        <v>229</v>
      </c>
      <c r="B24" s="2"/>
      <c r="C24" s="2"/>
      <c r="D24" s="2"/>
      <c r="E24" s="2" t="str">
        <f t="shared" si="2"/>
        <v/>
      </c>
      <c r="F24" s="9"/>
      <c r="G24" s="2"/>
      <c r="H24" s="2"/>
      <c r="I24" s="2" t="str">
        <f t="shared" si="3"/>
        <v/>
      </c>
    </row>
    <row r="25" spans="1:9" x14ac:dyDescent="0.25">
      <c r="A25" s="7" t="s">
        <v>230</v>
      </c>
      <c r="B25" s="2"/>
      <c r="C25" s="2"/>
      <c r="D25" s="2"/>
      <c r="E25" s="2" t="str">
        <f t="shared" si="2"/>
        <v/>
      </c>
      <c r="F25" s="9"/>
      <c r="G25" s="2"/>
      <c r="H25" s="2"/>
      <c r="I25" s="2" t="str">
        <f t="shared" si="3"/>
        <v/>
      </c>
    </row>
    <row r="26" spans="1:9" x14ac:dyDescent="0.25">
      <c r="A26" s="7" t="s">
        <v>231</v>
      </c>
      <c r="B26" s="2"/>
      <c r="C26" s="2"/>
      <c r="D26" s="2"/>
      <c r="E26" s="2" t="str">
        <f t="shared" si="2"/>
        <v/>
      </c>
      <c r="F26" s="9"/>
      <c r="G26" s="2"/>
      <c r="H26" s="2"/>
      <c r="I26" s="2" t="str">
        <f t="shared" si="3"/>
        <v/>
      </c>
    </row>
    <row r="27" spans="1:9" x14ac:dyDescent="0.25">
      <c r="A27" s="7" t="s">
        <v>232</v>
      </c>
      <c r="B27" s="2"/>
      <c r="C27" s="2"/>
      <c r="D27" s="2"/>
      <c r="E27" s="2" t="str">
        <f t="shared" si="2"/>
        <v/>
      </c>
      <c r="F27" s="9"/>
      <c r="G27" s="2"/>
      <c r="H27" s="2"/>
      <c r="I27" s="2" t="str">
        <f t="shared" si="3"/>
        <v/>
      </c>
    </row>
    <row r="28" spans="1:9" x14ac:dyDescent="0.25">
      <c r="A28" s="7" t="s">
        <v>233</v>
      </c>
      <c r="B28" s="2"/>
      <c r="C28" s="2"/>
      <c r="D28" s="2"/>
      <c r="E28" s="2" t="str">
        <f t="shared" si="2"/>
        <v/>
      </c>
      <c r="F28" s="9"/>
      <c r="G28" s="2"/>
      <c r="H28" s="2"/>
      <c r="I28" s="2" t="str">
        <f t="shared" si="3"/>
        <v/>
      </c>
    </row>
    <row r="29" spans="1:9" x14ac:dyDescent="0.25">
      <c r="A29" s="10" t="s">
        <v>234</v>
      </c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7" t="s">
        <v>235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7" t="s">
        <v>236</v>
      </c>
      <c r="B31" s="2"/>
      <c r="C31" s="2"/>
      <c r="D31" s="2"/>
      <c r="E31" s="2" t="str">
        <f>IF(AND(C31&lt;&gt;"",D31&lt;&gt;""),D31/C31,"")</f>
        <v/>
      </c>
      <c r="F31" s="9"/>
      <c r="G31" s="2"/>
      <c r="H31" s="2"/>
      <c r="I31" s="2" t="str">
        <f>IF(AND(G31&lt;&gt;"",H31&lt;&gt;""),H31/G31,"")</f>
        <v/>
      </c>
    </row>
    <row r="32" spans="1:9" x14ac:dyDescent="0.25">
      <c r="A32" s="7" t="s">
        <v>237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10" t="s">
        <v>238</v>
      </c>
      <c r="B33" s="9"/>
      <c r="C33" s="9"/>
      <c r="D33" s="9"/>
      <c r="E33" s="9"/>
      <c r="F33" s="9"/>
      <c r="G33" s="9"/>
      <c r="H33" s="9"/>
      <c r="I33" s="9"/>
    </row>
    <row r="34" spans="1:9" x14ac:dyDescent="0.25">
      <c r="A34" s="7" t="s">
        <v>239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240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241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7" t="s">
        <v>242</v>
      </c>
      <c r="B37" s="2"/>
      <c r="C37" s="2"/>
      <c r="D37" s="2"/>
      <c r="E37" s="2" t="str">
        <f>IF(AND(C37&lt;&gt;"",D37&lt;&gt;""),D37/C37,"")</f>
        <v/>
      </c>
      <c r="F37" s="9"/>
      <c r="G37" s="2"/>
      <c r="H37" s="2"/>
      <c r="I37" s="2" t="str">
        <f>IF(AND(G37&lt;&gt;"",H37&lt;&gt;""),H37/G37,"")</f>
        <v/>
      </c>
    </row>
    <row r="38" spans="1:9" x14ac:dyDescent="0.25">
      <c r="A38" s="7" t="s">
        <v>243</v>
      </c>
      <c r="B38" s="2"/>
      <c r="C38" s="2"/>
      <c r="D38" s="2"/>
      <c r="E38" s="2" t="str">
        <f>IF(AND(C38&lt;&gt;"",D38&lt;&gt;""),D38/C38,"")</f>
        <v/>
      </c>
      <c r="F38" s="9"/>
      <c r="G38" s="2"/>
      <c r="H38" s="2"/>
      <c r="I38" s="2" t="str">
        <f>IF(AND(G38&lt;&gt;"",H38&lt;&gt;""),H38/G38,"")</f>
        <v/>
      </c>
    </row>
    <row r="39" spans="1:9" x14ac:dyDescent="0.25">
      <c r="A39" s="8" t="s">
        <v>3</v>
      </c>
      <c r="B39" s="8"/>
      <c r="C39" s="8">
        <f>SUM(C5:C38)</f>
        <v>0</v>
      </c>
      <c r="D39" s="8">
        <f>SUM(D5:D38)</f>
        <v>0</v>
      </c>
      <c r="E39" s="8" t="str">
        <f>IF(C39&gt;0, D39/C39,"")</f>
        <v/>
      </c>
      <c r="F39" s="8"/>
      <c r="G39" s="8">
        <f>SUM(G5:G38)</f>
        <v>0</v>
      </c>
      <c r="H39" s="8">
        <f>SUM(H5:H38)</f>
        <v>0</v>
      </c>
      <c r="I39" s="8" t="str">
        <f>IF(G39&gt;0, H39/G39,"")</f>
        <v/>
      </c>
    </row>
    <row r="41" spans="1:9" x14ac:dyDescent="0.25">
      <c r="A41" s="5" t="s">
        <v>132</v>
      </c>
      <c r="B41" s="5"/>
      <c r="C41" s="5">
        <f>C39+G39</f>
        <v>0</v>
      </c>
      <c r="D41" s="5">
        <f>D39+H39</f>
        <v>0</v>
      </c>
      <c r="E41" s="5" t="str">
        <f>IF(C41&gt;0, D41/C41,"")</f>
        <v/>
      </c>
      <c r="F41" s="5"/>
      <c r="G41" s="5"/>
      <c r="H41" s="5"/>
      <c r="I41" s="5"/>
    </row>
    <row r="44" spans="1:9" hidden="1" x14ac:dyDescent="0.25"/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152" priority="1" operator="greaterThanOrEqual">
      <formula>0.9</formula>
    </cfRule>
    <cfRule type="cellIs" dxfId="151" priority="2" operator="between">
      <formula>0.8</formula>
      <formula>0.9</formula>
    </cfRule>
    <cfRule type="cellIs" dxfId="150" priority="3" operator="lessThan">
      <formula>0.8</formula>
    </cfRule>
  </conditionalFormatting>
  <conditionalFormatting sqref="E9:E11">
    <cfRule type="cellIs" dxfId="149" priority="7" operator="greaterThanOrEqual">
      <formula>0.9</formula>
    </cfRule>
    <cfRule type="cellIs" dxfId="148" priority="8" operator="between">
      <formula>0.8</formula>
      <formula>0.9</formula>
    </cfRule>
    <cfRule type="cellIs" dxfId="147" priority="9" operator="lessThan">
      <formula>0.8</formula>
    </cfRule>
  </conditionalFormatting>
  <conditionalFormatting sqref="E13:E20">
    <cfRule type="cellIs" dxfId="146" priority="16" operator="greaterThanOrEqual">
      <formula>0.9</formula>
    </cfRule>
    <cfRule type="cellIs" dxfId="145" priority="17" operator="between">
      <formula>0.8</formula>
      <formula>0.9</formula>
    </cfRule>
    <cfRule type="cellIs" dxfId="144" priority="18" operator="lessThan">
      <formula>0.8</formula>
    </cfRule>
  </conditionalFormatting>
  <conditionalFormatting sqref="E22:E28">
    <cfRule type="cellIs" dxfId="143" priority="40" operator="greaterThanOrEqual">
      <formula>0.9</formula>
    </cfRule>
    <cfRule type="cellIs" dxfId="142" priority="41" operator="between">
      <formula>0.8</formula>
      <formula>0.9</formula>
    </cfRule>
    <cfRule type="cellIs" dxfId="141" priority="42" operator="lessThan">
      <formula>0.8</formula>
    </cfRule>
  </conditionalFormatting>
  <conditionalFormatting sqref="E30:E32">
    <cfRule type="cellIs" dxfId="140" priority="61" operator="greaterThanOrEqual">
      <formula>0.9</formula>
    </cfRule>
    <cfRule type="cellIs" dxfId="139" priority="62" operator="between">
      <formula>0.8</formula>
      <formula>0.9</formula>
    </cfRule>
    <cfRule type="cellIs" dxfId="138" priority="63" operator="lessThan">
      <formula>0.8</formula>
    </cfRule>
  </conditionalFormatting>
  <conditionalFormatting sqref="E34:E39">
    <cfRule type="cellIs" dxfId="137" priority="70" operator="greaterThanOrEqual">
      <formula>0.9</formula>
    </cfRule>
    <cfRule type="cellIs" dxfId="136" priority="71" operator="between">
      <formula>0.8</formula>
      <formula>0.9</formula>
    </cfRule>
    <cfRule type="cellIs" dxfId="135" priority="72" operator="lessThan">
      <formula>0.8</formula>
    </cfRule>
  </conditionalFormatting>
  <conditionalFormatting sqref="E41">
    <cfRule type="cellIs" dxfId="134" priority="88" operator="greaterThanOrEqual">
      <formula>0.9</formula>
    </cfRule>
    <cfRule type="cellIs" dxfId="133" priority="89" operator="between">
      <formula>0.8</formula>
      <formula>0.9</formula>
    </cfRule>
    <cfRule type="cellIs" dxfId="132" priority="90" operator="lessThan">
      <formula>0.8</formula>
    </cfRule>
  </conditionalFormatting>
  <conditionalFormatting sqref="I6:I7">
    <cfRule type="cellIs" dxfId="131" priority="91" operator="greaterThanOrEqual">
      <formula>0.9</formula>
    </cfRule>
    <cfRule type="cellIs" dxfId="130" priority="92" operator="between">
      <formula>0.8</formula>
      <formula>0.9</formula>
    </cfRule>
    <cfRule type="cellIs" dxfId="129" priority="93" operator="lessThan">
      <formula>0.8</formula>
    </cfRule>
  </conditionalFormatting>
  <conditionalFormatting sqref="I9:I11">
    <cfRule type="cellIs" dxfId="128" priority="97" operator="greaterThanOrEqual">
      <formula>0.9</formula>
    </cfRule>
    <cfRule type="cellIs" dxfId="127" priority="98" operator="between">
      <formula>0.8</formula>
      <formula>0.9</formula>
    </cfRule>
    <cfRule type="cellIs" dxfId="126" priority="99" operator="lessThan">
      <formula>0.8</formula>
    </cfRule>
  </conditionalFormatting>
  <conditionalFormatting sqref="I13:I20">
    <cfRule type="cellIs" dxfId="125" priority="106" operator="greaterThanOrEqual">
      <formula>0.9</formula>
    </cfRule>
    <cfRule type="cellIs" dxfId="124" priority="107" operator="between">
      <formula>0.8</formula>
      <formula>0.9</formula>
    </cfRule>
    <cfRule type="cellIs" dxfId="123" priority="108" operator="lessThan">
      <formula>0.8</formula>
    </cfRule>
  </conditionalFormatting>
  <conditionalFormatting sqref="I22:I28">
    <cfRule type="cellIs" dxfId="122" priority="130" operator="greaterThanOrEqual">
      <formula>0.9</formula>
    </cfRule>
    <cfRule type="cellIs" dxfId="121" priority="131" operator="between">
      <formula>0.8</formula>
      <formula>0.9</formula>
    </cfRule>
    <cfRule type="cellIs" dxfId="120" priority="132" operator="lessThan">
      <formula>0.8</formula>
    </cfRule>
  </conditionalFormatting>
  <conditionalFormatting sqref="I30:I32">
    <cfRule type="cellIs" dxfId="119" priority="151" operator="greaterThanOrEqual">
      <formula>0.9</formula>
    </cfRule>
    <cfRule type="cellIs" dxfId="118" priority="152" operator="between">
      <formula>0.8</formula>
      <formula>0.9</formula>
    </cfRule>
    <cfRule type="cellIs" dxfId="117" priority="153" operator="lessThan">
      <formula>0.8</formula>
    </cfRule>
  </conditionalFormatting>
  <conditionalFormatting sqref="I34:I39">
    <cfRule type="cellIs" dxfId="116" priority="160" operator="greaterThanOrEqual">
      <formula>0.9</formula>
    </cfRule>
    <cfRule type="cellIs" dxfId="115" priority="161" operator="between">
      <formula>0.8</formula>
      <formula>0.9</formula>
    </cfRule>
    <cfRule type="cellIs" dxfId="114" priority="162" operator="lessThan">
      <formula>0.8</formula>
    </cfRule>
  </conditionalFormatting>
  <conditionalFormatting sqref="I41">
    <cfRule type="cellIs" dxfId="113" priority="178" operator="greaterThanOrEqual">
      <formula>0.9</formula>
    </cfRule>
    <cfRule type="cellIs" dxfId="112" priority="179" operator="between">
      <formula>0.8</formula>
      <formula>0.9</formula>
    </cfRule>
    <cfRule type="cellIs" dxfId="111" priority="180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2"/>
  <sheetViews>
    <sheetView tabSelected="1" workbookViewId="0">
      <selection activeCell="C45" sqref="C45"/>
    </sheetView>
  </sheetViews>
  <sheetFormatPr defaultRowHeight="14" x14ac:dyDescent="0.25"/>
  <cols>
    <col min="1" max="1" width="30" customWidth="1"/>
    <col min="2" max="13" width="9" customWidth="1"/>
  </cols>
  <sheetData>
    <row r="1" spans="1:10" ht="30" customHeight="1" x14ac:dyDescent="0.25">
      <c r="A1" s="31" t="s">
        <v>0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ht="6" customHeight="1" x14ac:dyDescent="0.25"/>
    <row r="3" spans="1:10" ht="24" customHeight="1" x14ac:dyDescent="0.25">
      <c r="A3" s="15"/>
      <c r="B3" s="23" t="s">
        <v>1</v>
      </c>
      <c r="C3" s="24"/>
      <c r="D3" s="25"/>
      <c r="E3" s="26" t="s">
        <v>2</v>
      </c>
      <c r="F3" s="24"/>
      <c r="G3" s="25"/>
      <c r="H3" s="30" t="s">
        <v>3</v>
      </c>
      <c r="I3" s="24"/>
      <c r="J3" s="25"/>
    </row>
    <row r="4" spans="1:10" ht="24" customHeight="1" x14ac:dyDescent="0.25">
      <c r="A4" s="16" t="s">
        <v>4</v>
      </c>
      <c r="B4" s="16" t="s">
        <v>5</v>
      </c>
      <c r="C4" s="16" t="s">
        <v>6</v>
      </c>
      <c r="D4" s="16" t="s">
        <v>7</v>
      </c>
      <c r="E4" s="16" t="s">
        <v>5</v>
      </c>
      <c r="F4" s="16" t="s">
        <v>6</v>
      </c>
      <c r="G4" s="16" t="s">
        <v>7</v>
      </c>
      <c r="H4" s="16" t="s">
        <v>5</v>
      </c>
      <c r="I4" s="16" t="s">
        <v>6</v>
      </c>
      <c r="J4" s="16" t="s">
        <v>7</v>
      </c>
    </row>
    <row r="5" spans="1:10" ht="22" customHeight="1" x14ac:dyDescent="0.25">
      <c r="A5" s="27" t="s">
        <v>8</v>
      </c>
      <c r="B5" s="28"/>
      <c r="C5" s="28"/>
      <c r="D5" s="28"/>
      <c r="E5" s="28"/>
      <c r="F5" s="28"/>
      <c r="G5" s="28"/>
      <c r="H5" s="28"/>
      <c r="I5" s="28"/>
      <c r="J5" s="29"/>
    </row>
    <row r="6" spans="1:10" ht="22" customHeight="1" x14ac:dyDescent="0.25">
      <c r="A6" s="17" t="s">
        <v>9</v>
      </c>
      <c r="B6" s="18">
        <v>15</v>
      </c>
      <c r="C6" s="18">
        <v>12</v>
      </c>
      <c r="D6" s="18">
        <f t="shared" ref="D6:D15" si="0">IF(AND(B6&lt;&gt;"",C6&lt;&gt;""),C6/B6,"")</f>
        <v>0.8</v>
      </c>
      <c r="E6" s="18">
        <v>22</v>
      </c>
      <c r="F6" s="18">
        <v>14</v>
      </c>
      <c r="G6" s="18">
        <f t="shared" ref="G6:G15" si="1">IF(AND(E6&lt;&gt;"",F6&lt;&gt;""),F6/E6,"")</f>
        <v>0.63636363636363635</v>
      </c>
      <c r="H6" s="18">
        <f t="shared" ref="H6:H14" si="2">B6+E6</f>
        <v>37</v>
      </c>
      <c r="I6" s="18">
        <f t="shared" ref="I6:I14" si="3">C6+F6</f>
        <v>26</v>
      </c>
      <c r="J6" s="18">
        <f t="shared" ref="J6:J15" si="4">IF(AND(H6&lt;&gt;"",I6&lt;&gt;""),I6/H6,"")</f>
        <v>0.70270270270270274</v>
      </c>
    </row>
    <row r="7" spans="1:10" ht="22" customHeight="1" x14ac:dyDescent="0.25">
      <c r="A7" s="17" t="s">
        <v>10</v>
      </c>
      <c r="B7" s="18"/>
      <c r="C7" s="18"/>
      <c r="D7" s="18" t="str">
        <f t="shared" si="0"/>
        <v/>
      </c>
      <c r="E7" s="18"/>
      <c r="F7" s="18"/>
      <c r="G7" s="18" t="str">
        <f t="shared" si="1"/>
        <v/>
      </c>
      <c r="H7" s="18">
        <f t="shared" si="2"/>
        <v>0</v>
      </c>
      <c r="I7" s="18">
        <f t="shared" si="3"/>
        <v>0</v>
      </c>
      <c r="J7" s="18" t="e">
        <f t="shared" si="4"/>
        <v>#DIV/0!</v>
      </c>
    </row>
    <row r="8" spans="1:10" ht="22" customHeight="1" x14ac:dyDescent="0.25">
      <c r="A8" s="17" t="s">
        <v>11</v>
      </c>
      <c r="B8" s="18"/>
      <c r="C8" s="18"/>
      <c r="D8" s="18" t="str">
        <f t="shared" si="0"/>
        <v/>
      </c>
      <c r="E8" s="18"/>
      <c r="F8" s="18"/>
      <c r="G8" s="18" t="str">
        <f t="shared" si="1"/>
        <v/>
      </c>
      <c r="H8" s="18">
        <f t="shared" si="2"/>
        <v>0</v>
      </c>
      <c r="I8" s="18">
        <f t="shared" si="3"/>
        <v>0</v>
      </c>
      <c r="J8" s="18" t="e">
        <f t="shared" si="4"/>
        <v>#DIV/0!</v>
      </c>
    </row>
    <row r="9" spans="1:10" ht="22" customHeight="1" x14ac:dyDescent="0.25">
      <c r="A9" s="17" t="s">
        <v>12</v>
      </c>
      <c r="B9" s="18"/>
      <c r="C9" s="18"/>
      <c r="D9" s="18" t="str">
        <f t="shared" si="0"/>
        <v/>
      </c>
      <c r="E9" s="18"/>
      <c r="F9" s="18"/>
      <c r="G9" s="18" t="str">
        <f t="shared" si="1"/>
        <v/>
      </c>
      <c r="H9" s="18">
        <f t="shared" si="2"/>
        <v>0</v>
      </c>
      <c r="I9" s="18">
        <f t="shared" si="3"/>
        <v>0</v>
      </c>
      <c r="J9" s="18" t="e">
        <f t="shared" si="4"/>
        <v>#DIV/0!</v>
      </c>
    </row>
    <row r="10" spans="1:10" ht="22" customHeight="1" x14ac:dyDescent="0.25">
      <c r="A10" s="17" t="s">
        <v>13</v>
      </c>
      <c r="B10" s="18"/>
      <c r="C10" s="18"/>
      <c r="D10" s="18" t="str">
        <f t="shared" si="0"/>
        <v/>
      </c>
      <c r="E10" s="18"/>
      <c r="F10" s="18"/>
      <c r="G10" s="18" t="str">
        <f t="shared" si="1"/>
        <v/>
      </c>
      <c r="H10" s="18">
        <f t="shared" si="2"/>
        <v>0</v>
      </c>
      <c r="I10" s="18">
        <f t="shared" si="3"/>
        <v>0</v>
      </c>
      <c r="J10" s="18" t="e">
        <f t="shared" si="4"/>
        <v>#DIV/0!</v>
      </c>
    </row>
    <row r="11" spans="1:10" ht="22" customHeight="1" x14ac:dyDescent="0.25">
      <c r="A11" s="17" t="s">
        <v>14</v>
      </c>
      <c r="B11" s="18"/>
      <c r="C11" s="18"/>
      <c r="D11" s="18" t="str">
        <f t="shared" si="0"/>
        <v/>
      </c>
      <c r="E11" s="18"/>
      <c r="F11" s="18"/>
      <c r="G11" s="18" t="str">
        <f t="shared" si="1"/>
        <v/>
      </c>
      <c r="H11" s="18">
        <f t="shared" si="2"/>
        <v>0</v>
      </c>
      <c r="I11" s="18">
        <f t="shared" si="3"/>
        <v>0</v>
      </c>
      <c r="J11" s="18" t="e">
        <f t="shared" si="4"/>
        <v>#DIV/0!</v>
      </c>
    </row>
    <row r="12" spans="1:10" ht="22" customHeight="1" x14ac:dyDescent="0.25">
      <c r="A12" s="17" t="s">
        <v>15</v>
      </c>
      <c r="B12" s="18"/>
      <c r="C12" s="18"/>
      <c r="D12" s="18" t="str">
        <f t="shared" si="0"/>
        <v/>
      </c>
      <c r="E12" s="18"/>
      <c r="F12" s="18"/>
      <c r="G12" s="18" t="str">
        <f t="shared" si="1"/>
        <v/>
      </c>
      <c r="H12" s="18">
        <f t="shared" si="2"/>
        <v>0</v>
      </c>
      <c r="I12" s="18">
        <f t="shared" si="3"/>
        <v>0</v>
      </c>
      <c r="J12" s="18" t="e">
        <f t="shared" si="4"/>
        <v>#DIV/0!</v>
      </c>
    </row>
    <row r="13" spans="1:10" ht="22" customHeight="1" x14ac:dyDescent="0.25">
      <c r="A13" s="17" t="s">
        <v>16</v>
      </c>
      <c r="B13" s="18"/>
      <c r="C13" s="18"/>
      <c r="D13" s="18" t="str">
        <f t="shared" si="0"/>
        <v/>
      </c>
      <c r="E13" s="18"/>
      <c r="F13" s="18"/>
      <c r="G13" s="18" t="str">
        <f t="shared" si="1"/>
        <v/>
      </c>
      <c r="H13" s="18">
        <f t="shared" si="2"/>
        <v>0</v>
      </c>
      <c r="I13" s="18">
        <f t="shared" si="3"/>
        <v>0</v>
      </c>
      <c r="J13" s="18" t="e">
        <f t="shared" si="4"/>
        <v>#DIV/0!</v>
      </c>
    </row>
    <row r="14" spans="1:10" ht="22" customHeight="1" x14ac:dyDescent="0.25">
      <c r="A14" s="17" t="s">
        <v>17</v>
      </c>
      <c r="B14" s="18"/>
      <c r="C14" s="18"/>
      <c r="D14" s="18" t="str">
        <f t="shared" si="0"/>
        <v/>
      </c>
      <c r="E14" s="18"/>
      <c r="F14" s="18"/>
      <c r="G14" s="18" t="str">
        <f t="shared" si="1"/>
        <v/>
      </c>
      <c r="H14" s="18">
        <f t="shared" si="2"/>
        <v>0</v>
      </c>
      <c r="I14" s="18">
        <f t="shared" si="3"/>
        <v>0</v>
      </c>
      <c r="J14" s="18" t="e">
        <f t="shared" si="4"/>
        <v>#DIV/0!</v>
      </c>
    </row>
    <row r="15" spans="1:10" ht="22" customHeight="1" x14ac:dyDescent="0.25">
      <c r="A15" s="19" t="s">
        <v>18</v>
      </c>
      <c r="B15" s="20">
        <f>SUM(B6:B14)</f>
        <v>15</v>
      </c>
      <c r="C15" s="20">
        <f>SUM(C6:C14)</f>
        <v>12</v>
      </c>
      <c r="D15" s="20">
        <f t="shared" si="0"/>
        <v>0.8</v>
      </c>
      <c r="E15" s="20">
        <f>SUM(E6:E14)</f>
        <v>22</v>
      </c>
      <c r="F15" s="20">
        <f>SUM(F6:F14)</f>
        <v>14</v>
      </c>
      <c r="G15" s="20">
        <f t="shared" si="1"/>
        <v>0.63636363636363635</v>
      </c>
      <c r="H15" s="20">
        <f>SUM(H6:H14)</f>
        <v>37</v>
      </c>
      <c r="I15" s="20">
        <f>SUM(I6:I14)</f>
        <v>26</v>
      </c>
      <c r="J15" s="20">
        <f t="shared" si="4"/>
        <v>0.70270270270270274</v>
      </c>
    </row>
    <row r="16" spans="1:10" ht="22" customHeight="1" x14ac:dyDescent="0.25"/>
    <row r="17" spans="1:10" ht="22" customHeight="1" x14ac:dyDescent="0.25">
      <c r="A17" s="27" t="s">
        <v>19</v>
      </c>
      <c r="B17" s="28"/>
      <c r="C17" s="28"/>
      <c r="D17" s="28"/>
      <c r="E17" s="28"/>
      <c r="F17" s="28"/>
      <c r="G17" s="28"/>
      <c r="H17" s="28"/>
      <c r="I17" s="28"/>
      <c r="J17" s="29"/>
    </row>
    <row r="18" spans="1:10" ht="22" customHeight="1" x14ac:dyDescent="0.25">
      <c r="A18" s="17" t="s">
        <v>20</v>
      </c>
      <c r="B18" s="18"/>
      <c r="C18" s="18"/>
      <c r="D18" s="18" t="str">
        <f t="shared" ref="D18:D24" si="5">IF(AND(B18&lt;&gt;"",C18&lt;&gt;""),C18/B18,"")</f>
        <v/>
      </c>
      <c r="E18" s="18"/>
      <c r="F18" s="18"/>
      <c r="G18" s="18" t="str">
        <f t="shared" ref="G18:G24" si="6">IF(AND(E18&lt;&gt;"",F18&lt;&gt;""),F18/E18,"")</f>
        <v/>
      </c>
      <c r="H18" s="18">
        <f t="shared" ref="H18:I23" si="7">B18+E18</f>
        <v>0</v>
      </c>
      <c r="I18" s="18">
        <f t="shared" si="7"/>
        <v>0</v>
      </c>
      <c r="J18" s="18" t="e">
        <f t="shared" ref="J18:J24" si="8">IF(AND(H18&lt;&gt;"",I18&lt;&gt;""),I18/H18,"")</f>
        <v>#DIV/0!</v>
      </c>
    </row>
    <row r="19" spans="1:10" ht="22" customHeight="1" x14ac:dyDescent="0.25">
      <c r="A19" s="17" t="s">
        <v>21</v>
      </c>
      <c r="B19" s="18"/>
      <c r="C19" s="18"/>
      <c r="D19" s="18" t="str">
        <f t="shared" si="5"/>
        <v/>
      </c>
      <c r="E19" s="18"/>
      <c r="F19" s="18"/>
      <c r="G19" s="18" t="str">
        <f t="shared" si="6"/>
        <v/>
      </c>
      <c r="H19" s="18">
        <f t="shared" si="7"/>
        <v>0</v>
      </c>
      <c r="I19" s="18">
        <f t="shared" si="7"/>
        <v>0</v>
      </c>
      <c r="J19" s="18" t="e">
        <f t="shared" si="8"/>
        <v>#DIV/0!</v>
      </c>
    </row>
    <row r="20" spans="1:10" ht="22" customHeight="1" x14ac:dyDescent="0.25">
      <c r="A20" s="17" t="s">
        <v>22</v>
      </c>
      <c r="B20" s="18"/>
      <c r="C20" s="18"/>
      <c r="D20" s="18" t="str">
        <f t="shared" si="5"/>
        <v/>
      </c>
      <c r="E20" s="18"/>
      <c r="F20" s="18"/>
      <c r="G20" s="18" t="str">
        <f t="shared" si="6"/>
        <v/>
      </c>
      <c r="H20" s="18">
        <f t="shared" si="7"/>
        <v>0</v>
      </c>
      <c r="I20" s="18">
        <f t="shared" si="7"/>
        <v>0</v>
      </c>
      <c r="J20" s="18" t="e">
        <f t="shared" si="8"/>
        <v>#DIV/0!</v>
      </c>
    </row>
    <row r="21" spans="1:10" ht="22" customHeight="1" x14ac:dyDescent="0.25">
      <c r="A21" s="17" t="s">
        <v>23</v>
      </c>
      <c r="B21" s="18"/>
      <c r="C21" s="18"/>
      <c r="D21" s="18" t="str">
        <f t="shared" si="5"/>
        <v/>
      </c>
      <c r="E21" s="18"/>
      <c r="F21" s="18"/>
      <c r="G21" s="18" t="str">
        <f t="shared" si="6"/>
        <v/>
      </c>
      <c r="H21" s="18">
        <f t="shared" si="7"/>
        <v>0</v>
      </c>
      <c r="I21" s="18">
        <f t="shared" si="7"/>
        <v>0</v>
      </c>
      <c r="J21" s="18" t="e">
        <f t="shared" si="8"/>
        <v>#DIV/0!</v>
      </c>
    </row>
    <row r="22" spans="1:10" ht="22" customHeight="1" x14ac:dyDescent="0.25">
      <c r="A22" s="17" t="s">
        <v>24</v>
      </c>
      <c r="B22" s="18"/>
      <c r="C22" s="18"/>
      <c r="D22" s="18" t="str">
        <f t="shared" si="5"/>
        <v/>
      </c>
      <c r="E22" s="18"/>
      <c r="F22" s="18"/>
      <c r="G22" s="18" t="str">
        <f t="shared" si="6"/>
        <v/>
      </c>
      <c r="H22" s="18">
        <f t="shared" si="7"/>
        <v>0</v>
      </c>
      <c r="I22" s="18">
        <f t="shared" si="7"/>
        <v>0</v>
      </c>
      <c r="J22" s="18" t="e">
        <f t="shared" si="8"/>
        <v>#DIV/0!</v>
      </c>
    </row>
    <row r="23" spans="1:10" ht="22" customHeight="1" x14ac:dyDescent="0.25">
      <c r="A23" s="17" t="s">
        <v>25</v>
      </c>
      <c r="B23" s="18"/>
      <c r="C23" s="18"/>
      <c r="D23" s="18" t="str">
        <f t="shared" si="5"/>
        <v/>
      </c>
      <c r="E23" s="18"/>
      <c r="F23" s="18"/>
      <c r="G23" s="18" t="str">
        <f t="shared" si="6"/>
        <v/>
      </c>
      <c r="H23" s="18">
        <f t="shared" si="7"/>
        <v>0</v>
      </c>
      <c r="I23" s="18">
        <f t="shared" si="7"/>
        <v>0</v>
      </c>
      <c r="J23" s="18" t="e">
        <f t="shared" si="8"/>
        <v>#DIV/0!</v>
      </c>
    </row>
    <row r="24" spans="1:10" ht="22" customHeight="1" x14ac:dyDescent="0.25">
      <c r="A24" s="19" t="s">
        <v>26</v>
      </c>
      <c r="B24" s="20">
        <f>SUM(B18:B23)</f>
        <v>0</v>
      </c>
      <c r="C24" s="20">
        <f>SUM(C18:C23)</f>
        <v>0</v>
      </c>
      <c r="D24" s="20" t="e">
        <f t="shared" si="5"/>
        <v>#DIV/0!</v>
      </c>
      <c r="E24" s="20">
        <f>SUM(E18:E23)</f>
        <v>0</v>
      </c>
      <c r="F24" s="20">
        <f>SUM(F18:F23)</f>
        <v>0</v>
      </c>
      <c r="G24" s="20" t="e">
        <f t="shared" si="6"/>
        <v>#DIV/0!</v>
      </c>
      <c r="H24" s="20">
        <f>SUM(H18:H23)</f>
        <v>0</v>
      </c>
      <c r="I24" s="20">
        <f>SUM(I18:I23)</f>
        <v>0</v>
      </c>
      <c r="J24" s="20" t="e">
        <f t="shared" si="8"/>
        <v>#DIV/0!</v>
      </c>
    </row>
    <row r="25" spans="1:10" ht="22" customHeight="1" x14ac:dyDescent="0.25"/>
    <row r="26" spans="1:10" ht="22" customHeight="1" x14ac:dyDescent="0.25">
      <c r="A26" s="27" t="s">
        <v>27</v>
      </c>
      <c r="B26" s="28"/>
      <c r="C26" s="28"/>
      <c r="D26" s="28"/>
      <c r="E26" s="28"/>
      <c r="F26" s="28"/>
      <c r="G26" s="28"/>
      <c r="H26" s="28"/>
      <c r="I26" s="28"/>
      <c r="J26" s="29"/>
    </row>
    <row r="27" spans="1:10" ht="22" customHeight="1" x14ac:dyDescent="0.25">
      <c r="A27" s="17" t="s">
        <v>28</v>
      </c>
      <c r="B27" s="18"/>
      <c r="C27" s="18"/>
      <c r="D27" s="18" t="str">
        <f t="shared" ref="D27:D36" si="9">IF(AND(B27&lt;&gt;"",C27&lt;&gt;""),C27/B27,"")</f>
        <v/>
      </c>
      <c r="E27" s="18"/>
      <c r="F27" s="18"/>
      <c r="G27" s="18" t="str">
        <f t="shared" ref="G27:G36" si="10">IF(AND(E27&lt;&gt;"",F27&lt;&gt;""),F27/E27,"")</f>
        <v/>
      </c>
      <c r="H27" s="18">
        <f t="shared" ref="H27:I34" si="11">B27+E27</f>
        <v>0</v>
      </c>
      <c r="I27" s="18">
        <f t="shared" si="11"/>
        <v>0</v>
      </c>
      <c r="J27" s="18" t="e">
        <f t="shared" ref="J27:J36" si="12">IF(AND(H27&lt;&gt;"",I27&lt;&gt;""),I27/H27,"")</f>
        <v>#DIV/0!</v>
      </c>
    </row>
    <row r="28" spans="1:10" ht="22" customHeight="1" x14ac:dyDescent="0.25">
      <c r="A28" s="17" t="s">
        <v>29</v>
      </c>
      <c r="B28" s="18"/>
      <c r="C28" s="18"/>
      <c r="D28" s="18" t="str">
        <f t="shared" si="9"/>
        <v/>
      </c>
      <c r="E28" s="18"/>
      <c r="F28" s="18"/>
      <c r="G28" s="18" t="str">
        <f t="shared" si="10"/>
        <v/>
      </c>
      <c r="H28" s="18">
        <f t="shared" si="11"/>
        <v>0</v>
      </c>
      <c r="I28" s="18">
        <f t="shared" si="11"/>
        <v>0</v>
      </c>
      <c r="J28" s="18" t="e">
        <f t="shared" si="12"/>
        <v>#DIV/0!</v>
      </c>
    </row>
    <row r="29" spans="1:10" ht="22" customHeight="1" x14ac:dyDescent="0.25">
      <c r="A29" s="17" t="s">
        <v>30</v>
      </c>
      <c r="B29" s="18"/>
      <c r="C29" s="18"/>
      <c r="D29" s="18" t="str">
        <f t="shared" si="9"/>
        <v/>
      </c>
      <c r="E29" s="18"/>
      <c r="F29" s="18"/>
      <c r="G29" s="18" t="str">
        <f t="shared" si="10"/>
        <v/>
      </c>
      <c r="H29" s="18">
        <f t="shared" si="11"/>
        <v>0</v>
      </c>
      <c r="I29" s="18">
        <f t="shared" si="11"/>
        <v>0</v>
      </c>
      <c r="J29" s="18" t="e">
        <f t="shared" si="12"/>
        <v>#DIV/0!</v>
      </c>
    </row>
    <row r="30" spans="1:10" ht="22" customHeight="1" x14ac:dyDescent="0.25">
      <c r="A30" s="17" t="s">
        <v>31</v>
      </c>
      <c r="B30" s="18"/>
      <c r="C30" s="18"/>
      <c r="D30" s="18" t="str">
        <f t="shared" si="9"/>
        <v/>
      </c>
      <c r="E30" s="18"/>
      <c r="F30" s="18"/>
      <c r="G30" s="18" t="str">
        <f t="shared" si="10"/>
        <v/>
      </c>
      <c r="H30" s="18">
        <f t="shared" si="11"/>
        <v>0</v>
      </c>
      <c r="I30" s="18">
        <f t="shared" si="11"/>
        <v>0</v>
      </c>
      <c r="J30" s="18" t="e">
        <f t="shared" si="12"/>
        <v>#DIV/0!</v>
      </c>
    </row>
    <row r="31" spans="1:10" ht="22" customHeight="1" x14ac:dyDescent="0.25">
      <c r="A31" s="17" t="s">
        <v>32</v>
      </c>
      <c r="B31" s="18"/>
      <c r="C31" s="18"/>
      <c r="D31" s="18" t="str">
        <f t="shared" si="9"/>
        <v/>
      </c>
      <c r="E31" s="18"/>
      <c r="F31" s="18"/>
      <c r="G31" s="18" t="str">
        <f t="shared" si="10"/>
        <v/>
      </c>
      <c r="H31" s="18">
        <f t="shared" si="11"/>
        <v>0</v>
      </c>
      <c r="I31" s="18">
        <f t="shared" si="11"/>
        <v>0</v>
      </c>
      <c r="J31" s="18" t="e">
        <f t="shared" si="12"/>
        <v>#DIV/0!</v>
      </c>
    </row>
    <row r="32" spans="1:10" ht="22" customHeight="1" x14ac:dyDescent="0.25">
      <c r="A32" s="17" t="s">
        <v>33</v>
      </c>
      <c r="B32" s="18"/>
      <c r="C32" s="18"/>
      <c r="D32" s="18" t="str">
        <f t="shared" si="9"/>
        <v/>
      </c>
      <c r="E32" s="18"/>
      <c r="F32" s="18"/>
      <c r="G32" s="18" t="str">
        <f t="shared" si="10"/>
        <v/>
      </c>
      <c r="H32" s="18">
        <f t="shared" si="11"/>
        <v>0</v>
      </c>
      <c r="I32" s="18">
        <f t="shared" si="11"/>
        <v>0</v>
      </c>
      <c r="J32" s="18" t="e">
        <f t="shared" si="12"/>
        <v>#DIV/0!</v>
      </c>
    </row>
    <row r="33" spans="1:13" ht="22" customHeight="1" x14ac:dyDescent="0.25">
      <c r="A33" s="17" t="s">
        <v>34</v>
      </c>
      <c r="B33" s="18"/>
      <c r="C33" s="18"/>
      <c r="D33" s="18" t="str">
        <f t="shared" si="9"/>
        <v/>
      </c>
      <c r="E33" s="18"/>
      <c r="F33" s="18"/>
      <c r="G33" s="18" t="str">
        <f t="shared" si="10"/>
        <v/>
      </c>
      <c r="H33" s="18">
        <f t="shared" si="11"/>
        <v>0</v>
      </c>
      <c r="I33" s="18">
        <f t="shared" si="11"/>
        <v>0</v>
      </c>
      <c r="J33" s="18" t="e">
        <f t="shared" si="12"/>
        <v>#DIV/0!</v>
      </c>
    </row>
    <row r="34" spans="1:13" ht="22" customHeight="1" x14ac:dyDescent="0.25">
      <c r="A34" s="17" t="s">
        <v>35</v>
      </c>
      <c r="B34" s="18"/>
      <c r="C34" s="18"/>
      <c r="D34" s="18" t="str">
        <f t="shared" si="9"/>
        <v/>
      </c>
      <c r="E34" s="18"/>
      <c r="F34" s="18"/>
      <c r="G34" s="18" t="str">
        <f t="shared" si="10"/>
        <v/>
      </c>
      <c r="H34" s="18">
        <f t="shared" si="11"/>
        <v>0</v>
      </c>
      <c r="I34" s="18">
        <f t="shared" si="11"/>
        <v>0</v>
      </c>
      <c r="J34" s="18" t="e">
        <f t="shared" si="12"/>
        <v>#DIV/0!</v>
      </c>
    </row>
    <row r="35" spans="1:13" ht="22" customHeight="1" x14ac:dyDescent="0.25">
      <c r="A35" s="19" t="s">
        <v>36</v>
      </c>
      <c r="B35" s="20">
        <f>SUM(B27:B34)</f>
        <v>0</v>
      </c>
      <c r="C35" s="20">
        <f>SUM(C27:C34)</f>
        <v>0</v>
      </c>
      <c r="D35" s="20" t="e">
        <f t="shared" si="9"/>
        <v>#DIV/0!</v>
      </c>
      <c r="E35" s="20">
        <f>SUM(E27:E34)</f>
        <v>0</v>
      </c>
      <c r="F35" s="20">
        <f>SUM(F27:F34)</f>
        <v>0</v>
      </c>
      <c r="G35" s="20" t="e">
        <f t="shared" si="10"/>
        <v>#DIV/0!</v>
      </c>
      <c r="H35" s="20">
        <f>SUM(H27:H34)</f>
        <v>0</v>
      </c>
      <c r="I35" s="20">
        <f>SUM(I27:I34)</f>
        <v>0</v>
      </c>
      <c r="J35" s="20" t="e">
        <f t="shared" si="12"/>
        <v>#DIV/0!</v>
      </c>
    </row>
    <row r="36" spans="1:13" ht="22" customHeight="1" x14ac:dyDescent="0.25">
      <c r="A36" s="21" t="s">
        <v>37</v>
      </c>
      <c r="B36" s="22">
        <f>B15+B24+B35</f>
        <v>15</v>
      </c>
      <c r="C36" s="22">
        <f>C15+C24+C35</f>
        <v>12</v>
      </c>
      <c r="D36" s="22">
        <f t="shared" si="9"/>
        <v>0.8</v>
      </c>
      <c r="E36" s="22">
        <f>E15+E24+E35</f>
        <v>22</v>
      </c>
      <c r="F36" s="22">
        <f>F15+F24+F35</f>
        <v>14</v>
      </c>
      <c r="G36" s="22">
        <f t="shared" si="10"/>
        <v>0.63636363636363635</v>
      </c>
      <c r="H36" s="22">
        <f>H15+H24+H35</f>
        <v>37</v>
      </c>
      <c r="I36" s="22">
        <f>I15+I24+I35</f>
        <v>26</v>
      </c>
      <c r="J36" s="22">
        <f t="shared" si="12"/>
        <v>0.70270270270270274</v>
      </c>
    </row>
    <row r="39" spans="1:13" ht="30" customHeight="1" x14ac:dyDescent="0.25">
      <c r="A39" s="31" t="s">
        <v>38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</row>
    <row r="40" spans="1:13" ht="6" customHeight="1" x14ac:dyDescent="0.25"/>
    <row r="41" spans="1:13" ht="24" customHeight="1" x14ac:dyDescent="0.25">
      <c r="A41" s="15"/>
      <c r="B41" s="23" t="s">
        <v>1</v>
      </c>
      <c r="C41" s="24"/>
      <c r="D41" s="25"/>
      <c r="E41" s="26" t="s">
        <v>2</v>
      </c>
      <c r="F41" s="24"/>
      <c r="G41" s="25"/>
      <c r="H41" s="32" t="s">
        <v>39</v>
      </c>
      <c r="I41" s="24"/>
      <c r="J41" s="25"/>
      <c r="K41" s="30" t="s">
        <v>3</v>
      </c>
      <c r="L41" s="24"/>
      <c r="M41" s="25"/>
    </row>
    <row r="42" spans="1:13" ht="24" customHeight="1" x14ac:dyDescent="0.25">
      <c r="A42" s="16" t="s">
        <v>4</v>
      </c>
      <c r="B42" s="16" t="s">
        <v>5</v>
      </c>
      <c r="C42" s="16" t="s">
        <v>6</v>
      </c>
      <c r="D42" s="16" t="s">
        <v>7</v>
      </c>
      <c r="E42" s="16" t="s">
        <v>5</v>
      </c>
      <c r="F42" s="16" t="s">
        <v>6</v>
      </c>
      <c r="G42" s="16" t="s">
        <v>7</v>
      </c>
      <c r="H42" s="16" t="s">
        <v>5</v>
      </c>
      <c r="I42" s="16" t="s">
        <v>6</v>
      </c>
      <c r="J42" s="16" t="s">
        <v>7</v>
      </c>
      <c r="K42" s="16" t="s">
        <v>5</v>
      </c>
      <c r="L42" s="16" t="s">
        <v>6</v>
      </c>
      <c r="M42" s="16" t="s">
        <v>7</v>
      </c>
    </row>
    <row r="43" spans="1:13" ht="22" customHeight="1" x14ac:dyDescent="0.25">
      <c r="A43" s="27" t="s">
        <v>8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9"/>
    </row>
    <row r="44" spans="1:13" ht="22" customHeight="1" x14ac:dyDescent="0.25">
      <c r="A44" s="17" t="s">
        <v>9</v>
      </c>
      <c r="B44" s="18">
        <v>16</v>
      </c>
      <c r="C44" s="18">
        <v>10</v>
      </c>
      <c r="D44" s="18">
        <f t="shared" ref="D44:D53" si="13">IF(AND(B44&lt;&gt;"",C44&lt;&gt;""),C44/B44,"")</f>
        <v>0.625</v>
      </c>
      <c r="E44" s="18"/>
      <c r="F44" s="18"/>
      <c r="G44" s="18" t="str">
        <f t="shared" ref="G44:G53" si="14">IF(AND(E44&lt;&gt;"",F44&lt;&gt;""),F44/E44,"")</f>
        <v/>
      </c>
      <c r="H44" s="18"/>
      <c r="I44" s="18"/>
      <c r="J44" s="18" t="str">
        <f t="shared" ref="J44:J53" si="15">IF(AND(H44&lt;&gt;"",I44&lt;&gt;""),I44/H44,"")</f>
        <v/>
      </c>
      <c r="K44" s="18">
        <f t="shared" ref="K44:K52" si="16">B44+E44+H44</f>
        <v>16</v>
      </c>
      <c r="L44" s="18">
        <f t="shared" ref="L44:L52" si="17">C44+F44+I44</f>
        <v>10</v>
      </c>
      <c r="M44" s="18">
        <f t="shared" ref="M44:M53" si="18">IF(AND(K44&lt;&gt;"",L44&lt;&gt;""),L44/K44,"")</f>
        <v>0.625</v>
      </c>
    </row>
    <row r="45" spans="1:13" ht="22" customHeight="1" x14ac:dyDescent="0.25">
      <c r="A45" s="17" t="s">
        <v>10</v>
      </c>
      <c r="B45" s="18"/>
      <c r="C45" s="18"/>
      <c r="D45" s="18" t="str">
        <f t="shared" si="13"/>
        <v/>
      </c>
      <c r="E45" s="18"/>
      <c r="F45" s="18"/>
      <c r="G45" s="18" t="str">
        <f t="shared" si="14"/>
        <v/>
      </c>
      <c r="H45" s="18"/>
      <c r="I45" s="18"/>
      <c r="J45" s="18" t="str">
        <f t="shared" si="15"/>
        <v/>
      </c>
      <c r="K45" s="18">
        <f t="shared" si="16"/>
        <v>0</v>
      </c>
      <c r="L45" s="18">
        <f t="shared" si="17"/>
        <v>0</v>
      </c>
      <c r="M45" s="18" t="e">
        <f t="shared" si="18"/>
        <v>#DIV/0!</v>
      </c>
    </row>
    <row r="46" spans="1:13" ht="22" customHeight="1" x14ac:dyDescent="0.25">
      <c r="A46" s="17" t="s">
        <v>11</v>
      </c>
      <c r="B46" s="18"/>
      <c r="C46" s="18"/>
      <c r="D46" s="18" t="str">
        <f t="shared" si="13"/>
        <v/>
      </c>
      <c r="E46" s="18"/>
      <c r="F46" s="18"/>
      <c r="G46" s="18" t="str">
        <f t="shared" si="14"/>
        <v/>
      </c>
      <c r="H46" s="18"/>
      <c r="I46" s="18"/>
      <c r="J46" s="18" t="str">
        <f t="shared" si="15"/>
        <v/>
      </c>
      <c r="K46" s="18">
        <f t="shared" si="16"/>
        <v>0</v>
      </c>
      <c r="L46" s="18">
        <f t="shared" si="17"/>
        <v>0</v>
      </c>
      <c r="M46" s="18" t="e">
        <f t="shared" si="18"/>
        <v>#DIV/0!</v>
      </c>
    </row>
    <row r="47" spans="1:13" ht="22" customHeight="1" x14ac:dyDescent="0.25">
      <c r="A47" s="17" t="s">
        <v>12</v>
      </c>
      <c r="B47" s="18"/>
      <c r="C47" s="18"/>
      <c r="D47" s="18" t="str">
        <f t="shared" si="13"/>
        <v/>
      </c>
      <c r="E47" s="18"/>
      <c r="F47" s="18"/>
      <c r="G47" s="18" t="str">
        <f t="shared" si="14"/>
        <v/>
      </c>
      <c r="H47" s="18"/>
      <c r="I47" s="18"/>
      <c r="J47" s="18" t="str">
        <f t="shared" si="15"/>
        <v/>
      </c>
      <c r="K47" s="18">
        <f t="shared" si="16"/>
        <v>0</v>
      </c>
      <c r="L47" s="18">
        <f t="shared" si="17"/>
        <v>0</v>
      </c>
      <c r="M47" s="18" t="e">
        <f t="shared" si="18"/>
        <v>#DIV/0!</v>
      </c>
    </row>
    <row r="48" spans="1:13" ht="22" customHeight="1" x14ac:dyDescent="0.25">
      <c r="A48" s="17" t="s">
        <v>13</v>
      </c>
      <c r="B48" s="18"/>
      <c r="C48" s="18"/>
      <c r="D48" s="18" t="str">
        <f t="shared" si="13"/>
        <v/>
      </c>
      <c r="E48" s="18"/>
      <c r="F48" s="18"/>
      <c r="G48" s="18" t="str">
        <f t="shared" si="14"/>
        <v/>
      </c>
      <c r="H48" s="18"/>
      <c r="I48" s="18"/>
      <c r="J48" s="18" t="str">
        <f t="shared" si="15"/>
        <v/>
      </c>
      <c r="K48" s="18">
        <f t="shared" si="16"/>
        <v>0</v>
      </c>
      <c r="L48" s="18">
        <f t="shared" si="17"/>
        <v>0</v>
      </c>
      <c r="M48" s="18" t="e">
        <f t="shared" si="18"/>
        <v>#DIV/0!</v>
      </c>
    </row>
    <row r="49" spans="1:13" ht="22" customHeight="1" x14ac:dyDescent="0.25">
      <c r="A49" s="17" t="s">
        <v>14</v>
      </c>
      <c r="B49" s="18"/>
      <c r="C49" s="18"/>
      <c r="D49" s="18" t="str">
        <f t="shared" si="13"/>
        <v/>
      </c>
      <c r="E49" s="18"/>
      <c r="F49" s="18"/>
      <c r="G49" s="18" t="str">
        <f t="shared" si="14"/>
        <v/>
      </c>
      <c r="H49" s="18"/>
      <c r="I49" s="18"/>
      <c r="J49" s="18" t="str">
        <f t="shared" si="15"/>
        <v/>
      </c>
      <c r="K49" s="18">
        <f t="shared" si="16"/>
        <v>0</v>
      </c>
      <c r="L49" s="18">
        <f t="shared" si="17"/>
        <v>0</v>
      </c>
      <c r="M49" s="18" t="e">
        <f t="shared" si="18"/>
        <v>#DIV/0!</v>
      </c>
    </row>
    <row r="50" spans="1:13" ht="22" customHeight="1" x14ac:dyDescent="0.25">
      <c r="A50" s="17" t="s">
        <v>15</v>
      </c>
      <c r="B50" s="18"/>
      <c r="C50" s="18"/>
      <c r="D50" s="18" t="str">
        <f t="shared" si="13"/>
        <v/>
      </c>
      <c r="E50" s="18"/>
      <c r="F50" s="18"/>
      <c r="G50" s="18" t="str">
        <f t="shared" si="14"/>
        <v/>
      </c>
      <c r="H50" s="18"/>
      <c r="I50" s="18"/>
      <c r="J50" s="18" t="str">
        <f t="shared" si="15"/>
        <v/>
      </c>
      <c r="K50" s="18">
        <f t="shared" si="16"/>
        <v>0</v>
      </c>
      <c r="L50" s="18">
        <f t="shared" si="17"/>
        <v>0</v>
      </c>
      <c r="M50" s="18" t="e">
        <f t="shared" si="18"/>
        <v>#DIV/0!</v>
      </c>
    </row>
    <row r="51" spans="1:13" ht="22" customHeight="1" x14ac:dyDescent="0.25">
      <c r="A51" s="17" t="s">
        <v>16</v>
      </c>
      <c r="B51" s="18"/>
      <c r="C51" s="18"/>
      <c r="D51" s="18" t="str">
        <f t="shared" si="13"/>
        <v/>
      </c>
      <c r="E51" s="18"/>
      <c r="F51" s="18"/>
      <c r="G51" s="18" t="str">
        <f t="shared" si="14"/>
        <v/>
      </c>
      <c r="H51" s="18"/>
      <c r="I51" s="18"/>
      <c r="J51" s="18" t="str">
        <f t="shared" si="15"/>
        <v/>
      </c>
      <c r="K51" s="18">
        <f t="shared" si="16"/>
        <v>0</v>
      </c>
      <c r="L51" s="18">
        <f t="shared" si="17"/>
        <v>0</v>
      </c>
      <c r="M51" s="18" t="e">
        <f t="shared" si="18"/>
        <v>#DIV/0!</v>
      </c>
    </row>
    <row r="52" spans="1:13" ht="22" customHeight="1" x14ac:dyDescent="0.25">
      <c r="A52" s="17" t="s">
        <v>17</v>
      </c>
      <c r="B52" s="18"/>
      <c r="C52" s="18"/>
      <c r="D52" s="18" t="str">
        <f t="shared" si="13"/>
        <v/>
      </c>
      <c r="E52" s="18"/>
      <c r="F52" s="18"/>
      <c r="G52" s="18" t="str">
        <f t="shared" si="14"/>
        <v/>
      </c>
      <c r="H52" s="18"/>
      <c r="I52" s="18"/>
      <c r="J52" s="18" t="str">
        <f t="shared" si="15"/>
        <v/>
      </c>
      <c r="K52" s="18">
        <f t="shared" si="16"/>
        <v>0</v>
      </c>
      <c r="L52" s="18">
        <f t="shared" si="17"/>
        <v>0</v>
      </c>
      <c r="M52" s="18" t="e">
        <f t="shared" si="18"/>
        <v>#DIV/0!</v>
      </c>
    </row>
    <row r="53" spans="1:13" ht="22" customHeight="1" x14ac:dyDescent="0.25">
      <c r="A53" s="19" t="s">
        <v>18</v>
      </c>
      <c r="B53" s="20">
        <f>SUM(B44:B52)</f>
        <v>16</v>
      </c>
      <c r="C53" s="20">
        <f>SUM(C44:C52)</f>
        <v>10</v>
      </c>
      <c r="D53" s="20">
        <f t="shared" si="13"/>
        <v>0.625</v>
      </c>
      <c r="E53" s="20">
        <f>SUM(E44:E52)</f>
        <v>0</v>
      </c>
      <c r="F53" s="20">
        <f>SUM(F44:F52)</f>
        <v>0</v>
      </c>
      <c r="G53" s="20" t="e">
        <f t="shared" si="14"/>
        <v>#DIV/0!</v>
      </c>
      <c r="H53" s="20">
        <f>SUM(H44:H52)</f>
        <v>0</v>
      </c>
      <c r="I53" s="20">
        <f>SUM(I44:I52)</f>
        <v>0</v>
      </c>
      <c r="J53" s="20" t="e">
        <f t="shared" si="15"/>
        <v>#DIV/0!</v>
      </c>
      <c r="K53" s="20">
        <f>SUM(K44:K52)</f>
        <v>16</v>
      </c>
      <c r="L53" s="20">
        <f>SUM(L44:L52)</f>
        <v>10</v>
      </c>
      <c r="M53" s="20">
        <f t="shared" si="18"/>
        <v>0.625</v>
      </c>
    </row>
    <row r="54" spans="1:13" ht="22" customHeight="1" x14ac:dyDescent="0.25"/>
    <row r="55" spans="1:13" ht="22" customHeight="1" x14ac:dyDescent="0.25">
      <c r="A55" s="27" t="s">
        <v>19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9"/>
    </row>
    <row r="56" spans="1:13" ht="22" customHeight="1" x14ac:dyDescent="0.25">
      <c r="A56" s="17" t="s">
        <v>20</v>
      </c>
      <c r="B56" s="18"/>
      <c r="C56" s="18"/>
      <c r="D56" s="18" t="str">
        <f t="shared" ref="D56:D62" si="19">IF(AND(B56&lt;&gt;"",C56&lt;&gt;""),C56/B56,"")</f>
        <v/>
      </c>
      <c r="E56" s="18"/>
      <c r="F56" s="18"/>
      <c r="G56" s="18" t="str">
        <f t="shared" ref="G56:G62" si="20">IF(AND(E56&lt;&gt;"",F56&lt;&gt;""),F56/E56,"")</f>
        <v/>
      </c>
      <c r="H56" s="18"/>
      <c r="I56" s="18"/>
      <c r="J56" s="18" t="str">
        <f t="shared" ref="J56:J62" si="21">IF(AND(H56&lt;&gt;"",I56&lt;&gt;""),I56/H56,"")</f>
        <v/>
      </c>
      <c r="K56" s="18">
        <f t="shared" ref="K56:L61" si="22">B56+E56+H56</f>
        <v>0</v>
      </c>
      <c r="L56" s="18">
        <f t="shared" si="22"/>
        <v>0</v>
      </c>
      <c r="M56" s="18" t="e">
        <f t="shared" ref="M56:M62" si="23">IF(AND(K56&lt;&gt;"",L56&lt;&gt;""),L56/K56,"")</f>
        <v>#DIV/0!</v>
      </c>
    </row>
    <row r="57" spans="1:13" ht="22" customHeight="1" x14ac:dyDescent="0.25">
      <c r="A57" s="17" t="s">
        <v>21</v>
      </c>
      <c r="B57" s="18"/>
      <c r="C57" s="18"/>
      <c r="D57" s="18" t="str">
        <f t="shared" si="19"/>
        <v/>
      </c>
      <c r="E57" s="18"/>
      <c r="F57" s="18"/>
      <c r="G57" s="18" t="str">
        <f t="shared" si="20"/>
        <v/>
      </c>
      <c r="H57" s="18"/>
      <c r="I57" s="18"/>
      <c r="J57" s="18" t="str">
        <f t="shared" si="21"/>
        <v/>
      </c>
      <c r="K57" s="18">
        <f t="shared" si="22"/>
        <v>0</v>
      </c>
      <c r="L57" s="18">
        <f t="shared" si="22"/>
        <v>0</v>
      </c>
      <c r="M57" s="18" t="e">
        <f t="shared" si="23"/>
        <v>#DIV/0!</v>
      </c>
    </row>
    <row r="58" spans="1:13" ht="22" customHeight="1" x14ac:dyDescent="0.25">
      <c r="A58" s="17" t="s">
        <v>22</v>
      </c>
      <c r="B58" s="18"/>
      <c r="C58" s="18"/>
      <c r="D58" s="18" t="str">
        <f t="shared" si="19"/>
        <v/>
      </c>
      <c r="E58" s="18"/>
      <c r="F58" s="18"/>
      <c r="G58" s="18" t="str">
        <f t="shared" si="20"/>
        <v/>
      </c>
      <c r="H58" s="18"/>
      <c r="I58" s="18"/>
      <c r="J58" s="18" t="str">
        <f t="shared" si="21"/>
        <v/>
      </c>
      <c r="K58" s="18">
        <f t="shared" si="22"/>
        <v>0</v>
      </c>
      <c r="L58" s="18">
        <f t="shared" si="22"/>
        <v>0</v>
      </c>
      <c r="M58" s="18" t="e">
        <f t="shared" si="23"/>
        <v>#DIV/0!</v>
      </c>
    </row>
    <row r="59" spans="1:13" ht="22" customHeight="1" x14ac:dyDescent="0.25">
      <c r="A59" s="17" t="s">
        <v>23</v>
      </c>
      <c r="B59" s="18"/>
      <c r="C59" s="18"/>
      <c r="D59" s="18" t="str">
        <f t="shared" si="19"/>
        <v/>
      </c>
      <c r="E59" s="18"/>
      <c r="F59" s="18"/>
      <c r="G59" s="18" t="str">
        <f t="shared" si="20"/>
        <v/>
      </c>
      <c r="H59" s="18"/>
      <c r="I59" s="18"/>
      <c r="J59" s="18" t="str">
        <f t="shared" si="21"/>
        <v/>
      </c>
      <c r="K59" s="18">
        <f t="shared" si="22"/>
        <v>0</v>
      </c>
      <c r="L59" s="18">
        <f t="shared" si="22"/>
        <v>0</v>
      </c>
      <c r="M59" s="18" t="e">
        <f t="shared" si="23"/>
        <v>#DIV/0!</v>
      </c>
    </row>
    <row r="60" spans="1:13" ht="22" customHeight="1" x14ac:dyDescent="0.25">
      <c r="A60" s="17" t="s">
        <v>24</v>
      </c>
      <c r="B60" s="18"/>
      <c r="C60" s="18"/>
      <c r="D60" s="18" t="str">
        <f t="shared" si="19"/>
        <v/>
      </c>
      <c r="E60" s="18"/>
      <c r="F60" s="18"/>
      <c r="G60" s="18" t="str">
        <f t="shared" si="20"/>
        <v/>
      </c>
      <c r="H60" s="18"/>
      <c r="I60" s="18"/>
      <c r="J60" s="18" t="str">
        <f t="shared" si="21"/>
        <v/>
      </c>
      <c r="K60" s="18">
        <f t="shared" si="22"/>
        <v>0</v>
      </c>
      <c r="L60" s="18">
        <f t="shared" si="22"/>
        <v>0</v>
      </c>
      <c r="M60" s="18" t="e">
        <f t="shared" si="23"/>
        <v>#DIV/0!</v>
      </c>
    </row>
    <row r="61" spans="1:13" ht="22" customHeight="1" x14ac:dyDescent="0.25">
      <c r="A61" s="17" t="s">
        <v>25</v>
      </c>
      <c r="B61" s="18"/>
      <c r="C61" s="18"/>
      <c r="D61" s="18" t="str">
        <f t="shared" si="19"/>
        <v/>
      </c>
      <c r="E61" s="18"/>
      <c r="F61" s="18"/>
      <c r="G61" s="18" t="str">
        <f t="shared" si="20"/>
        <v/>
      </c>
      <c r="H61" s="18"/>
      <c r="I61" s="18"/>
      <c r="J61" s="18" t="str">
        <f t="shared" si="21"/>
        <v/>
      </c>
      <c r="K61" s="18">
        <f t="shared" si="22"/>
        <v>0</v>
      </c>
      <c r="L61" s="18">
        <f t="shared" si="22"/>
        <v>0</v>
      </c>
      <c r="M61" s="18" t="e">
        <f t="shared" si="23"/>
        <v>#DIV/0!</v>
      </c>
    </row>
    <row r="62" spans="1:13" ht="22" customHeight="1" x14ac:dyDescent="0.25">
      <c r="A62" s="19" t="s">
        <v>26</v>
      </c>
      <c r="B62" s="20">
        <f>SUM(B56:B61)</f>
        <v>0</v>
      </c>
      <c r="C62" s="20">
        <f>SUM(C56:C61)</f>
        <v>0</v>
      </c>
      <c r="D62" s="20" t="e">
        <f t="shared" si="19"/>
        <v>#DIV/0!</v>
      </c>
      <c r="E62" s="20">
        <f>SUM(E56:E61)</f>
        <v>0</v>
      </c>
      <c r="F62" s="20">
        <f>SUM(F56:F61)</f>
        <v>0</v>
      </c>
      <c r="G62" s="20" t="e">
        <f t="shared" si="20"/>
        <v>#DIV/0!</v>
      </c>
      <c r="H62" s="20">
        <f>SUM(H56:H61)</f>
        <v>0</v>
      </c>
      <c r="I62" s="20">
        <f>SUM(I56:I61)</f>
        <v>0</v>
      </c>
      <c r="J62" s="20" t="e">
        <f t="shared" si="21"/>
        <v>#DIV/0!</v>
      </c>
      <c r="K62" s="20">
        <f>SUM(K56:K61)</f>
        <v>0</v>
      </c>
      <c r="L62" s="20">
        <f>SUM(L56:L61)</f>
        <v>0</v>
      </c>
      <c r="M62" s="20" t="e">
        <f t="shared" si="23"/>
        <v>#DIV/0!</v>
      </c>
    </row>
    <row r="63" spans="1:13" ht="22" customHeight="1" x14ac:dyDescent="0.25"/>
    <row r="64" spans="1:13" ht="22" customHeight="1" x14ac:dyDescent="0.25">
      <c r="A64" s="27" t="s">
        <v>27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9"/>
    </row>
    <row r="65" spans="1:13" ht="22" customHeight="1" x14ac:dyDescent="0.25">
      <c r="A65" s="17" t="s">
        <v>28</v>
      </c>
      <c r="B65" s="18"/>
      <c r="C65" s="18"/>
      <c r="D65" s="18" t="str">
        <f t="shared" ref="D65:D74" si="24">IF(AND(B65&lt;&gt;"",C65&lt;&gt;""),C65/B65,"")</f>
        <v/>
      </c>
      <c r="E65" s="18"/>
      <c r="F65" s="18"/>
      <c r="G65" s="18" t="str">
        <f t="shared" ref="G65:G74" si="25">IF(AND(E65&lt;&gt;"",F65&lt;&gt;""),F65/E65,"")</f>
        <v/>
      </c>
      <c r="H65" s="18"/>
      <c r="I65" s="18"/>
      <c r="J65" s="18" t="str">
        <f t="shared" ref="J65:J74" si="26">IF(AND(H65&lt;&gt;"",I65&lt;&gt;""),I65/H65,"")</f>
        <v/>
      </c>
      <c r="K65" s="18">
        <f t="shared" ref="K65:L72" si="27">B65+E65+H65</f>
        <v>0</v>
      </c>
      <c r="L65" s="18">
        <f t="shared" si="27"/>
        <v>0</v>
      </c>
      <c r="M65" s="18" t="e">
        <f t="shared" ref="M65:M74" si="28">IF(AND(K65&lt;&gt;"",L65&lt;&gt;""),L65/K65,"")</f>
        <v>#DIV/0!</v>
      </c>
    </row>
    <row r="66" spans="1:13" ht="22" customHeight="1" x14ac:dyDescent="0.25">
      <c r="A66" s="17" t="s">
        <v>29</v>
      </c>
      <c r="B66" s="18"/>
      <c r="C66" s="18"/>
      <c r="D66" s="18" t="str">
        <f t="shared" si="24"/>
        <v/>
      </c>
      <c r="E66" s="18"/>
      <c r="F66" s="18"/>
      <c r="G66" s="18" t="str">
        <f t="shared" si="25"/>
        <v/>
      </c>
      <c r="H66" s="18"/>
      <c r="I66" s="18"/>
      <c r="J66" s="18" t="str">
        <f t="shared" si="26"/>
        <v/>
      </c>
      <c r="K66" s="18">
        <f t="shared" si="27"/>
        <v>0</v>
      </c>
      <c r="L66" s="18">
        <f t="shared" si="27"/>
        <v>0</v>
      </c>
      <c r="M66" s="18" t="e">
        <f t="shared" si="28"/>
        <v>#DIV/0!</v>
      </c>
    </row>
    <row r="67" spans="1:13" ht="22" customHeight="1" x14ac:dyDescent="0.25">
      <c r="A67" s="17" t="s">
        <v>30</v>
      </c>
      <c r="B67" s="18"/>
      <c r="C67" s="18"/>
      <c r="D67" s="18" t="str">
        <f t="shared" si="24"/>
        <v/>
      </c>
      <c r="E67" s="18"/>
      <c r="F67" s="18"/>
      <c r="G67" s="18" t="str">
        <f t="shared" si="25"/>
        <v/>
      </c>
      <c r="H67" s="18"/>
      <c r="I67" s="18"/>
      <c r="J67" s="18" t="str">
        <f t="shared" si="26"/>
        <v/>
      </c>
      <c r="K67" s="18">
        <f t="shared" si="27"/>
        <v>0</v>
      </c>
      <c r="L67" s="18">
        <f t="shared" si="27"/>
        <v>0</v>
      </c>
      <c r="M67" s="18" t="e">
        <f t="shared" si="28"/>
        <v>#DIV/0!</v>
      </c>
    </row>
    <row r="68" spans="1:13" ht="22" customHeight="1" x14ac:dyDescent="0.25">
      <c r="A68" s="17" t="s">
        <v>31</v>
      </c>
      <c r="B68" s="18"/>
      <c r="C68" s="18"/>
      <c r="D68" s="18" t="str">
        <f t="shared" si="24"/>
        <v/>
      </c>
      <c r="E68" s="18"/>
      <c r="F68" s="18"/>
      <c r="G68" s="18" t="str">
        <f t="shared" si="25"/>
        <v/>
      </c>
      <c r="H68" s="18"/>
      <c r="I68" s="18"/>
      <c r="J68" s="18" t="str">
        <f t="shared" si="26"/>
        <v/>
      </c>
      <c r="K68" s="18">
        <f t="shared" si="27"/>
        <v>0</v>
      </c>
      <c r="L68" s="18">
        <f t="shared" si="27"/>
        <v>0</v>
      </c>
      <c r="M68" s="18" t="e">
        <f t="shared" si="28"/>
        <v>#DIV/0!</v>
      </c>
    </row>
    <row r="69" spans="1:13" ht="22" customHeight="1" x14ac:dyDescent="0.25">
      <c r="A69" s="17" t="s">
        <v>32</v>
      </c>
      <c r="B69" s="18"/>
      <c r="C69" s="18"/>
      <c r="D69" s="18" t="str">
        <f t="shared" si="24"/>
        <v/>
      </c>
      <c r="E69" s="18"/>
      <c r="F69" s="18"/>
      <c r="G69" s="18" t="str">
        <f t="shared" si="25"/>
        <v/>
      </c>
      <c r="H69" s="18"/>
      <c r="I69" s="18"/>
      <c r="J69" s="18" t="str">
        <f t="shared" si="26"/>
        <v/>
      </c>
      <c r="K69" s="18">
        <f t="shared" si="27"/>
        <v>0</v>
      </c>
      <c r="L69" s="18">
        <f t="shared" si="27"/>
        <v>0</v>
      </c>
      <c r="M69" s="18" t="e">
        <f t="shared" si="28"/>
        <v>#DIV/0!</v>
      </c>
    </row>
    <row r="70" spans="1:13" ht="22" customHeight="1" x14ac:dyDescent="0.25">
      <c r="A70" s="17" t="s">
        <v>33</v>
      </c>
      <c r="B70" s="18"/>
      <c r="C70" s="18"/>
      <c r="D70" s="18" t="str">
        <f t="shared" si="24"/>
        <v/>
      </c>
      <c r="E70" s="18"/>
      <c r="F70" s="18"/>
      <c r="G70" s="18" t="str">
        <f t="shared" si="25"/>
        <v/>
      </c>
      <c r="H70" s="18"/>
      <c r="I70" s="18"/>
      <c r="J70" s="18" t="str">
        <f t="shared" si="26"/>
        <v/>
      </c>
      <c r="K70" s="18">
        <f t="shared" si="27"/>
        <v>0</v>
      </c>
      <c r="L70" s="18">
        <f t="shared" si="27"/>
        <v>0</v>
      </c>
      <c r="M70" s="18" t="e">
        <f t="shared" si="28"/>
        <v>#DIV/0!</v>
      </c>
    </row>
    <row r="71" spans="1:13" ht="22" customHeight="1" x14ac:dyDescent="0.25">
      <c r="A71" s="17" t="s">
        <v>34</v>
      </c>
      <c r="B71" s="18"/>
      <c r="C71" s="18"/>
      <c r="D71" s="18" t="str">
        <f t="shared" si="24"/>
        <v/>
      </c>
      <c r="E71" s="18"/>
      <c r="F71" s="18"/>
      <c r="G71" s="18" t="str">
        <f t="shared" si="25"/>
        <v/>
      </c>
      <c r="H71" s="18"/>
      <c r="I71" s="18"/>
      <c r="J71" s="18" t="str">
        <f t="shared" si="26"/>
        <v/>
      </c>
      <c r="K71" s="18">
        <f t="shared" si="27"/>
        <v>0</v>
      </c>
      <c r="L71" s="18">
        <f t="shared" si="27"/>
        <v>0</v>
      </c>
      <c r="M71" s="18" t="e">
        <f t="shared" si="28"/>
        <v>#DIV/0!</v>
      </c>
    </row>
    <row r="72" spans="1:13" ht="22" customHeight="1" x14ac:dyDescent="0.25">
      <c r="A72" s="17" t="s">
        <v>35</v>
      </c>
      <c r="B72" s="18"/>
      <c r="C72" s="18"/>
      <c r="D72" s="18" t="str">
        <f t="shared" si="24"/>
        <v/>
      </c>
      <c r="E72" s="18"/>
      <c r="F72" s="18"/>
      <c r="G72" s="18" t="str">
        <f t="shared" si="25"/>
        <v/>
      </c>
      <c r="H72" s="18"/>
      <c r="I72" s="18"/>
      <c r="J72" s="18" t="str">
        <f t="shared" si="26"/>
        <v/>
      </c>
      <c r="K72" s="18">
        <f t="shared" si="27"/>
        <v>0</v>
      </c>
      <c r="L72" s="18">
        <f t="shared" si="27"/>
        <v>0</v>
      </c>
      <c r="M72" s="18" t="e">
        <f t="shared" si="28"/>
        <v>#DIV/0!</v>
      </c>
    </row>
    <row r="73" spans="1:13" ht="22" customHeight="1" x14ac:dyDescent="0.25">
      <c r="A73" s="19" t="s">
        <v>36</v>
      </c>
      <c r="B73" s="20">
        <f>SUM(B65:B72)</f>
        <v>0</v>
      </c>
      <c r="C73" s="20">
        <f>SUM(C65:C72)</f>
        <v>0</v>
      </c>
      <c r="D73" s="20" t="e">
        <f t="shared" si="24"/>
        <v>#DIV/0!</v>
      </c>
      <c r="E73" s="20">
        <f>SUM(E65:E72)</f>
        <v>0</v>
      </c>
      <c r="F73" s="20">
        <f>SUM(F65:F72)</f>
        <v>0</v>
      </c>
      <c r="G73" s="20" t="e">
        <f t="shared" si="25"/>
        <v>#DIV/0!</v>
      </c>
      <c r="H73" s="20">
        <f>SUM(H65:H72)</f>
        <v>0</v>
      </c>
      <c r="I73" s="20">
        <f>SUM(I65:I72)</f>
        <v>0</v>
      </c>
      <c r="J73" s="20" t="e">
        <f t="shared" si="26"/>
        <v>#DIV/0!</v>
      </c>
      <c r="K73" s="20">
        <f>SUM(K65:K72)</f>
        <v>0</v>
      </c>
      <c r="L73" s="20">
        <f>SUM(L65:L72)</f>
        <v>0</v>
      </c>
      <c r="M73" s="20" t="e">
        <f t="shared" si="28"/>
        <v>#DIV/0!</v>
      </c>
    </row>
    <row r="74" spans="1:13" ht="22" customHeight="1" x14ac:dyDescent="0.25">
      <c r="A74" s="21" t="s">
        <v>37</v>
      </c>
      <c r="B74" s="22">
        <f>B53+B62+B73</f>
        <v>16</v>
      </c>
      <c r="C74" s="22">
        <f>C53+C62+C73</f>
        <v>10</v>
      </c>
      <c r="D74" s="22">
        <f t="shared" si="24"/>
        <v>0.625</v>
      </c>
      <c r="E74" s="22">
        <f>E53+E62+E73</f>
        <v>0</v>
      </c>
      <c r="F74" s="22">
        <f>F53+F62+F73</f>
        <v>0</v>
      </c>
      <c r="G74" s="22" t="e">
        <f t="shared" si="25"/>
        <v>#DIV/0!</v>
      </c>
      <c r="H74" s="22">
        <f>H53+H62+H73</f>
        <v>0</v>
      </c>
      <c r="I74" s="22">
        <f>I53+I62+I73</f>
        <v>0</v>
      </c>
      <c r="J74" s="22" t="e">
        <f t="shared" si="26"/>
        <v>#DIV/0!</v>
      </c>
      <c r="K74" s="22">
        <f>K53+K62+K73</f>
        <v>16</v>
      </c>
      <c r="L74" s="22">
        <f>L53+L62+L73</f>
        <v>10</v>
      </c>
      <c r="M74" s="22">
        <f t="shared" si="28"/>
        <v>0.625</v>
      </c>
    </row>
    <row r="77" spans="1:13" ht="30" customHeight="1" x14ac:dyDescent="0.25">
      <c r="A77" s="31" t="s">
        <v>40</v>
      </c>
      <c r="B77" s="24"/>
      <c r="C77" s="24"/>
      <c r="D77" s="24"/>
      <c r="E77" s="24"/>
      <c r="F77" s="24"/>
      <c r="G77" s="24"/>
      <c r="H77" s="24"/>
      <c r="I77" s="24"/>
      <c r="J77" s="24"/>
    </row>
    <row r="78" spans="1:13" ht="6" customHeight="1" x14ac:dyDescent="0.25"/>
    <row r="79" spans="1:13" ht="24" customHeight="1" x14ac:dyDescent="0.25">
      <c r="A79" s="15"/>
      <c r="B79" s="23" t="s">
        <v>41</v>
      </c>
      <c r="C79" s="24"/>
      <c r="D79" s="25"/>
      <c r="E79" s="26" t="s">
        <v>38</v>
      </c>
      <c r="F79" s="24"/>
      <c r="G79" s="25"/>
      <c r="H79" s="30" t="s">
        <v>42</v>
      </c>
      <c r="I79" s="24"/>
      <c r="J79" s="25"/>
    </row>
    <row r="80" spans="1:13" ht="24" customHeight="1" x14ac:dyDescent="0.25">
      <c r="A80" s="16" t="s">
        <v>4</v>
      </c>
      <c r="B80" s="16" t="s">
        <v>5</v>
      </c>
      <c r="C80" s="16" t="s">
        <v>6</v>
      </c>
      <c r="D80" s="16" t="s">
        <v>7</v>
      </c>
      <c r="E80" s="16" t="s">
        <v>5</v>
      </c>
      <c r="F80" s="16" t="s">
        <v>6</v>
      </c>
      <c r="G80" s="16" t="s">
        <v>7</v>
      </c>
      <c r="H80" s="16" t="s">
        <v>5</v>
      </c>
      <c r="I80" s="16" t="s">
        <v>6</v>
      </c>
      <c r="J80" s="16" t="s">
        <v>7</v>
      </c>
    </row>
    <row r="81" spans="1:10" ht="22" customHeight="1" x14ac:dyDescent="0.25">
      <c r="A81" s="27" t="s">
        <v>8</v>
      </c>
      <c r="B81" s="28"/>
      <c r="C81" s="28"/>
      <c r="D81" s="28"/>
      <c r="E81" s="28"/>
      <c r="F81" s="28"/>
      <c r="G81" s="28"/>
      <c r="H81" s="28"/>
      <c r="I81" s="28"/>
      <c r="J81" s="29"/>
    </row>
    <row r="82" spans="1:10" ht="22" customHeight="1" x14ac:dyDescent="0.25">
      <c r="A82" s="17" t="s">
        <v>9</v>
      </c>
      <c r="B82" s="18">
        <f t="shared" ref="B82:B90" si="29">H6</f>
        <v>37</v>
      </c>
      <c r="C82" s="18">
        <f t="shared" ref="C82:C90" si="30">I6</f>
        <v>26</v>
      </c>
      <c r="D82" s="18">
        <f t="shared" ref="D82:D91" si="31">IF(AND(B82&lt;&gt;"",C82&lt;&gt;""),C82/B82,"")</f>
        <v>0.70270270270270274</v>
      </c>
      <c r="E82" s="18">
        <f t="shared" ref="E82:E90" si="32">K44</f>
        <v>16</v>
      </c>
      <c r="F82" s="18">
        <f t="shared" ref="F82:F90" si="33">L44</f>
        <v>10</v>
      </c>
      <c r="G82" s="18">
        <f t="shared" ref="G82:G91" si="34">IF(AND(E82&lt;&gt;"",F82&lt;&gt;""),F82/E82,"")</f>
        <v>0.625</v>
      </c>
      <c r="H82" s="18">
        <f t="shared" ref="H82:H90" si="35">B82+E82</f>
        <v>53</v>
      </c>
      <c r="I82" s="18">
        <f t="shared" ref="I82:I90" si="36">C82+F82</f>
        <v>36</v>
      </c>
      <c r="J82" s="18">
        <f t="shared" ref="J82:J91" si="37">IF(AND(H82&lt;&gt;"",I82&lt;&gt;""),I82/H82,"")</f>
        <v>0.67924528301886788</v>
      </c>
    </row>
    <row r="83" spans="1:10" ht="22" customHeight="1" x14ac:dyDescent="0.25">
      <c r="A83" s="17" t="s">
        <v>10</v>
      </c>
      <c r="B83" s="18">
        <f t="shared" si="29"/>
        <v>0</v>
      </c>
      <c r="C83" s="18">
        <f t="shared" si="30"/>
        <v>0</v>
      </c>
      <c r="D83" s="18" t="e">
        <f t="shared" si="31"/>
        <v>#DIV/0!</v>
      </c>
      <c r="E83" s="18">
        <f t="shared" si="32"/>
        <v>0</v>
      </c>
      <c r="F83" s="18">
        <f t="shared" si="33"/>
        <v>0</v>
      </c>
      <c r="G83" s="18" t="e">
        <f t="shared" si="34"/>
        <v>#DIV/0!</v>
      </c>
      <c r="H83" s="18">
        <f t="shared" si="35"/>
        <v>0</v>
      </c>
      <c r="I83" s="18">
        <f t="shared" si="36"/>
        <v>0</v>
      </c>
      <c r="J83" s="18" t="e">
        <f t="shared" si="37"/>
        <v>#DIV/0!</v>
      </c>
    </row>
    <row r="84" spans="1:10" ht="22" customHeight="1" x14ac:dyDescent="0.25">
      <c r="A84" s="17" t="s">
        <v>11</v>
      </c>
      <c r="B84" s="18">
        <f t="shared" si="29"/>
        <v>0</v>
      </c>
      <c r="C84" s="18">
        <f t="shared" si="30"/>
        <v>0</v>
      </c>
      <c r="D84" s="18" t="e">
        <f t="shared" si="31"/>
        <v>#DIV/0!</v>
      </c>
      <c r="E84" s="18">
        <f t="shared" si="32"/>
        <v>0</v>
      </c>
      <c r="F84" s="18">
        <f t="shared" si="33"/>
        <v>0</v>
      </c>
      <c r="G84" s="18" t="e">
        <f t="shared" si="34"/>
        <v>#DIV/0!</v>
      </c>
      <c r="H84" s="18">
        <f t="shared" si="35"/>
        <v>0</v>
      </c>
      <c r="I84" s="18">
        <f t="shared" si="36"/>
        <v>0</v>
      </c>
      <c r="J84" s="18" t="e">
        <f t="shared" si="37"/>
        <v>#DIV/0!</v>
      </c>
    </row>
    <row r="85" spans="1:10" ht="22" customHeight="1" x14ac:dyDescent="0.25">
      <c r="A85" s="17" t="s">
        <v>12</v>
      </c>
      <c r="B85" s="18">
        <f t="shared" si="29"/>
        <v>0</v>
      </c>
      <c r="C85" s="18">
        <f t="shared" si="30"/>
        <v>0</v>
      </c>
      <c r="D85" s="18" t="e">
        <f t="shared" si="31"/>
        <v>#DIV/0!</v>
      </c>
      <c r="E85" s="18">
        <f t="shared" si="32"/>
        <v>0</v>
      </c>
      <c r="F85" s="18">
        <f t="shared" si="33"/>
        <v>0</v>
      </c>
      <c r="G85" s="18" t="e">
        <f t="shared" si="34"/>
        <v>#DIV/0!</v>
      </c>
      <c r="H85" s="18">
        <f t="shared" si="35"/>
        <v>0</v>
      </c>
      <c r="I85" s="18">
        <f t="shared" si="36"/>
        <v>0</v>
      </c>
      <c r="J85" s="18" t="e">
        <f t="shared" si="37"/>
        <v>#DIV/0!</v>
      </c>
    </row>
    <row r="86" spans="1:10" ht="22" customHeight="1" x14ac:dyDescent="0.25">
      <c r="A86" s="17" t="s">
        <v>13</v>
      </c>
      <c r="B86" s="18">
        <f t="shared" si="29"/>
        <v>0</v>
      </c>
      <c r="C86" s="18">
        <f t="shared" si="30"/>
        <v>0</v>
      </c>
      <c r="D86" s="18" t="e">
        <f t="shared" si="31"/>
        <v>#DIV/0!</v>
      </c>
      <c r="E86" s="18">
        <f t="shared" si="32"/>
        <v>0</v>
      </c>
      <c r="F86" s="18">
        <f t="shared" si="33"/>
        <v>0</v>
      </c>
      <c r="G86" s="18" t="e">
        <f t="shared" si="34"/>
        <v>#DIV/0!</v>
      </c>
      <c r="H86" s="18">
        <f t="shared" si="35"/>
        <v>0</v>
      </c>
      <c r="I86" s="18">
        <f t="shared" si="36"/>
        <v>0</v>
      </c>
      <c r="J86" s="18" t="e">
        <f t="shared" si="37"/>
        <v>#DIV/0!</v>
      </c>
    </row>
    <row r="87" spans="1:10" ht="22" customHeight="1" x14ac:dyDescent="0.25">
      <c r="A87" s="17" t="s">
        <v>14</v>
      </c>
      <c r="B87" s="18">
        <f t="shared" si="29"/>
        <v>0</v>
      </c>
      <c r="C87" s="18">
        <f t="shared" si="30"/>
        <v>0</v>
      </c>
      <c r="D87" s="18" t="e">
        <f t="shared" si="31"/>
        <v>#DIV/0!</v>
      </c>
      <c r="E87" s="18">
        <f t="shared" si="32"/>
        <v>0</v>
      </c>
      <c r="F87" s="18">
        <f t="shared" si="33"/>
        <v>0</v>
      </c>
      <c r="G87" s="18" t="e">
        <f t="shared" si="34"/>
        <v>#DIV/0!</v>
      </c>
      <c r="H87" s="18">
        <f t="shared" si="35"/>
        <v>0</v>
      </c>
      <c r="I87" s="18">
        <f t="shared" si="36"/>
        <v>0</v>
      </c>
      <c r="J87" s="18" t="e">
        <f t="shared" si="37"/>
        <v>#DIV/0!</v>
      </c>
    </row>
    <row r="88" spans="1:10" ht="22" customHeight="1" x14ac:dyDescent="0.25">
      <c r="A88" s="17" t="s">
        <v>15</v>
      </c>
      <c r="B88" s="18">
        <f t="shared" si="29"/>
        <v>0</v>
      </c>
      <c r="C88" s="18">
        <f t="shared" si="30"/>
        <v>0</v>
      </c>
      <c r="D88" s="18" t="e">
        <f t="shared" si="31"/>
        <v>#DIV/0!</v>
      </c>
      <c r="E88" s="18">
        <f t="shared" si="32"/>
        <v>0</v>
      </c>
      <c r="F88" s="18">
        <f t="shared" si="33"/>
        <v>0</v>
      </c>
      <c r="G88" s="18" t="e">
        <f t="shared" si="34"/>
        <v>#DIV/0!</v>
      </c>
      <c r="H88" s="18">
        <f t="shared" si="35"/>
        <v>0</v>
      </c>
      <c r="I88" s="18">
        <f t="shared" si="36"/>
        <v>0</v>
      </c>
      <c r="J88" s="18" t="e">
        <f t="shared" si="37"/>
        <v>#DIV/0!</v>
      </c>
    </row>
    <row r="89" spans="1:10" ht="22" customHeight="1" x14ac:dyDescent="0.25">
      <c r="A89" s="17" t="s">
        <v>16</v>
      </c>
      <c r="B89" s="18">
        <f t="shared" si="29"/>
        <v>0</v>
      </c>
      <c r="C89" s="18">
        <f t="shared" si="30"/>
        <v>0</v>
      </c>
      <c r="D89" s="18" t="e">
        <f t="shared" si="31"/>
        <v>#DIV/0!</v>
      </c>
      <c r="E89" s="18">
        <f t="shared" si="32"/>
        <v>0</v>
      </c>
      <c r="F89" s="18">
        <f t="shared" si="33"/>
        <v>0</v>
      </c>
      <c r="G89" s="18" t="e">
        <f t="shared" si="34"/>
        <v>#DIV/0!</v>
      </c>
      <c r="H89" s="18">
        <f t="shared" si="35"/>
        <v>0</v>
      </c>
      <c r="I89" s="18">
        <f t="shared" si="36"/>
        <v>0</v>
      </c>
      <c r="J89" s="18" t="e">
        <f t="shared" si="37"/>
        <v>#DIV/0!</v>
      </c>
    </row>
    <row r="90" spans="1:10" ht="22" customHeight="1" x14ac:dyDescent="0.25">
      <c r="A90" s="17" t="s">
        <v>17</v>
      </c>
      <c r="B90" s="18">
        <f t="shared" si="29"/>
        <v>0</v>
      </c>
      <c r="C90" s="18">
        <f t="shared" si="30"/>
        <v>0</v>
      </c>
      <c r="D90" s="18" t="e">
        <f t="shared" si="31"/>
        <v>#DIV/0!</v>
      </c>
      <c r="E90" s="18">
        <f t="shared" si="32"/>
        <v>0</v>
      </c>
      <c r="F90" s="18">
        <f t="shared" si="33"/>
        <v>0</v>
      </c>
      <c r="G90" s="18" t="e">
        <f t="shared" si="34"/>
        <v>#DIV/0!</v>
      </c>
      <c r="H90" s="18">
        <f t="shared" si="35"/>
        <v>0</v>
      </c>
      <c r="I90" s="18">
        <f t="shared" si="36"/>
        <v>0</v>
      </c>
      <c r="J90" s="18" t="e">
        <f t="shared" si="37"/>
        <v>#DIV/0!</v>
      </c>
    </row>
    <row r="91" spans="1:10" ht="22" customHeight="1" x14ac:dyDescent="0.25">
      <c r="A91" s="19" t="s">
        <v>18</v>
      </c>
      <c r="B91" s="20">
        <f>SUM(B82:B90)</f>
        <v>37</v>
      </c>
      <c r="C91" s="20">
        <f>SUM(C82:C90)</f>
        <v>26</v>
      </c>
      <c r="D91" s="20">
        <f t="shared" si="31"/>
        <v>0.70270270270270274</v>
      </c>
      <c r="E91" s="20">
        <f>SUM(E82:E90)</f>
        <v>16</v>
      </c>
      <c r="F91" s="20">
        <f>SUM(F82:F90)</f>
        <v>10</v>
      </c>
      <c r="G91" s="20">
        <f t="shared" si="34"/>
        <v>0.625</v>
      </c>
      <c r="H91" s="20">
        <f>SUM(H82:H90)</f>
        <v>53</v>
      </c>
      <c r="I91" s="20">
        <f>SUM(I82:I90)</f>
        <v>36</v>
      </c>
      <c r="J91" s="20">
        <f t="shared" si="37"/>
        <v>0.67924528301886788</v>
      </c>
    </row>
    <row r="92" spans="1:10" ht="22" customHeight="1" x14ac:dyDescent="0.25"/>
    <row r="93" spans="1:10" ht="22" customHeight="1" x14ac:dyDescent="0.25">
      <c r="A93" s="27" t="s">
        <v>19</v>
      </c>
      <c r="B93" s="28"/>
      <c r="C93" s="28"/>
      <c r="D93" s="28"/>
      <c r="E93" s="28"/>
      <c r="F93" s="28"/>
      <c r="G93" s="28"/>
      <c r="H93" s="28"/>
      <c r="I93" s="28"/>
      <c r="J93" s="29"/>
    </row>
    <row r="94" spans="1:10" ht="22" customHeight="1" x14ac:dyDescent="0.25">
      <c r="A94" s="17" t="s">
        <v>20</v>
      </c>
      <c r="B94" s="18">
        <f t="shared" ref="B94:C99" si="38">H18</f>
        <v>0</v>
      </c>
      <c r="C94" s="18">
        <f t="shared" si="38"/>
        <v>0</v>
      </c>
      <c r="D94" s="18" t="e">
        <f t="shared" ref="D94:D100" si="39">IF(AND(B94&lt;&gt;"",C94&lt;&gt;""),C94/B94,"")</f>
        <v>#DIV/0!</v>
      </c>
      <c r="E94" s="18">
        <f t="shared" ref="E94:F99" si="40">K56</f>
        <v>0</v>
      </c>
      <c r="F94" s="18">
        <f t="shared" si="40"/>
        <v>0</v>
      </c>
      <c r="G94" s="18" t="e">
        <f t="shared" ref="G94:G100" si="41">IF(AND(E94&lt;&gt;"",F94&lt;&gt;""),F94/E94,"")</f>
        <v>#DIV/0!</v>
      </c>
      <c r="H94" s="18">
        <f t="shared" ref="H94:I99" si="42">B94+E94</f>
        <v>0</v>
      </c>
      <c r="I94" s="18">
        <f t="shared" si="42"/>
        <v>0</v>
      </c>
      <c r="J94" s="18" t="e">
        <f t="shared" ref="J94:J100" si="43">IF(AND(H94&lt;&gt;"",I94&lt;&gt;""),I94/H94,"")</f>
        <v>#DIV/0!</v>
      </c>
    </row>
    <row r="95" spans="1:10" ht="22" customHeight="1" x14ac:dyDescent="0.25">
      <c r="A95" s="17" t="s">
        <v>21</v>
      </c>
      <c r="B95" s="18">
        <f t="shared" si="38"/>
        <v>0</v>
      </c>
      <c r="C95" s="18">
        <f t="shared" si="38"/>
        <v>0</v>
      </c>
      <c r="D95" s="18" t="e">
        <f t="shared" si="39"/>
        <v>#DIV/0!</v>
      </c>
      <c r="E95" s="18">
        <f t="shared" si="40"/>
        <v>0</v>
      </c>
      <c r="F95" s="18">
        <f t="shared" si="40"/>
        <v>0</v>
      </c>
      <c r="G95" s="18" t="e">
        <f t="shared" si="41"/>
        <v>#DIV/0!</v>
      </c>
      <c r="H95" s="18">
        <f t="shared" si="42"/>
        <v>0</v>
      </c>
      <c r="I95" s="18">
        <f t="shared" si="42"/>
        <v>0</v>
      </c>
      <c r="J95" s="18" t="e">
        <f t="shared" si="43"/>
        <v>#DIV/0!</v>
      </c>
    </row>
    <row r="96" spans="1:10" ht="22" customHeight="1" x14ac:dyDescent="0.25">
      <c r="A96" s="17" t="s">
        <v>22</v>
      </c>
      <c r="B96" s="18">
        <f t="shared" si="38"/>
        <v>0</v>
      </c>
      <c r="C96" s="18">
        <f t="shared" si="38"/>
        <v>0</v>
      </c>
      <c r="D96" s="18" t="e">
        <f t="shared" si="39"/>
        <v>#DIV/0!</v>
      </c>
      <c r="E96" s="18">
        <f t="shared" si="40"/>
        <v>0</v>
      </c>
      <c r="F96" s="18">
        <f t="shared" si="40"/>
        <v>0</v>
      </c>
      <c r="G96" s="18" t="e">
        <f t="shared" si="41"/>
        <v>#DIV/0!</v>
      </c>
      <c r="H96" s="18">
        <f t="shared" si="42"/>
        <v>0</v>
      </c>
      <c r="I96" s="18">
        <f t="shared" si="42"/>
        <v>0</v>
      </c>
      <c r="J96" s="18" t="e">
        <f t="shared" si="43"/>
        <v>#DIV/0!</v>
      </c>
    </row>
    <row r="97" spans="1:10" ht="22" customHeight="1" x14ac:dyDescent="0.25">
      <c r="A97" s="17" t="s">
        <v>23</v>
      </c>
      <c r="B97" s="18">
        <f t="shared" si="38"/>
        <v>0</v>
      </c>
      <c r="C97" s="18">
        <f t="shared" si="38"/>
        <v>0</v>
      </c>
      <c r="D97" s="18" t="e">
        <f t="shared" si="39"/>
        <v>#DIV/0!</v>
      </c>
      <c r="E97" s="18">
        <f t="shared" si="40"/>
        <v>0</v>
      </c>
      <c r="F97" s="18">
        <f t="shared" si="40"/>
        <v>0</v>
      </c>
      <c r="G97" s="18" t="e">
        <f t="shared" si="41"/>
        <v>#DIV/0!</v>
      </c>
      <c r="H97" s="18">
        <f t="shared" si="42"/>
        <v>0</v>
      </c>
      <c r="I97" s="18">
        <f t="shared" si="42"/>
        <v>0</v>
      </c>
      <c r="J97" s="18" t="e">
        <f t="shared" si="43"/>
        <v>#DIV/0!</v>
      </c>
    </row>
    <row r="98" spans="1:10" ht="22" customHeight="1" x14ac:dyDescent="0.25">
      <c r="A98" s="17" t="s">
        <v>24</v>
      </c>
      <c r="B98" s="18">
        <f t="shared" si="38"/>
        <v>0</v>
      </c>
      <c r="C98" s="18">
        <f t="shared" si="38"/>
        <v>0</v>
      </c>
      <c r="D98" s="18" t="e">
        <f t="shared" si="39"/>
        <v>#DIV/0!</v>
      </c>
      <c r="E98" s="18">
        <f t="shared" si="40"/>
        <v>0</v>
      </c>
      <c r="F98" s="18">
        <f t="shared" si="40"/>
        <v>0</v>
      </c>
      <c r="G98" s="18" t="e">
        <f t="shared" si="41"/>
        <v>#DIV/0!</v>
      </c>
      <c r="H98" s="18">
        <f t="shared" si="42"/>
        <v>0</v>
      </c>
      <c r="I98" s="18">
        <f t="shared" si="42"/>
        <v>0</v>
      </c>
      <c r="J98" s="18" t="e">
        <f t="shared" si="43"/>
        <v>#DIV/0!</v>
      </c>
    </row>
    <row r="99" spans="1:10" ht="22" customHeight="1" x14ac:dyDescent="0.25">
      <c r="A99" s="17" t="s">
        <v>25</v>
      </c>
      <c r="B99" s="18">
        <f t="shared" si="38"/>
        <v>0</v>
      </c>
      <c r="C99" s="18">
        <f t="shared" si="38"/>
        <v>0</v>
      </c>
      <c r="D99" s="18" t="e">
        <f t="shared" si="39"/>
        <v>#DIV/0!</v>
      </c>
      <c r="E99" s="18">
        <f t="shared" si="40"/>
        <v>0</v>
      </c>
      <c r="F99" s="18">
        <f t="shared" si="40"/>
        <v>0</v>
      </c>
      <c r="G99" s="18" t="e">
        <f t="shared" si="41"/>
        <v>#DIV/0!</v>
      </c>
      <c r="H99" s="18">
        <f t="shared" si="42"/>
        <v>0</v>
      </c>
      <c r="I99" s="18">
        <f t="shared" si="42"/>
        <v>0</v>
      </c>
      <c r="J99" s="18" t="e">
        <f t="shared" si="43"/>
        <v>#DIV/0!</v>
      </c>
    </row>
    <row r="100" spans="1:10" ht="22" customHeight="1" x14ac:dyDescent="0.25">
      <c r="A100" s="19" t="s">
        <v>26</v>
      </c>
      <c r="B100" s="20">
        <f>SUM(B94:B99)</f>
        <v>0</v>
      </c>
      <c r="C100" s="20">
        <f>SUM(C94:C99)</f>
        <v>0</v>
      </c>
      <c r="D100" s="20" t="e">
        <f t="shared" si="39"/>
        <v>#DIV/0!</v>
      </c>
      <c r="E100" s="20">
        <f>SUM(E94:E99)</f>
        <v>0</v>
      </c>
      <c r="F100" s="20">
        <f>SUM(F94:F99)</f>
        <v>0</v>
      </c>
      <c r="G100" s="20" t="e">
        <f t="shared" si="41"/>
        <v>#DIV/0!</v>
      </c>
      <c r="H100" s="20">
        <f>SUM(H94:H99)</f>
        <v>0</v>
      </c>
      <c r="I100" s="20">
        <f>SUM(I94:I99)</f>
        <v>0</v>
      </c>
      <c r="J100" s="20" t="e">
        <f t="shared" si="43"/>
        <v>#DIV/0!</v>
      </c>
    </row>
    <row r="101" spans="1:10" ht="22" customHeight="1" x14ac:dyDescent="0.25"/>
    <row r="102" spans="1:10" ht="22" customHeight="1" x14ac:dyDescent="0.25">
      <c r="A102" s="27" t="s">
        <v>27</v>
      </c>
      <c r="B102" s="28"/>
      <c r="C102" s="28"/>
      <c r="D102" s="28"/>
      <c r="E102" s="28"/>
      <c r="F102" s="28"/>
      <c r="G102" s="28"/>
      <c r="H102" s="28"/>
      <c r="I102" s="28"/>
      <c r="J102" s="29"/>
    </row>
    <row r="103" spans="1:10" ht="22" customHeight="1" x14ac:dyDescent="0.25">
      <c r="A103" s="17" t="s">
        <v>28</v>
      </c>
      <c r="B103" s="18">
        <f t="shared" ref="B103:C110" si="44">H27</f>
        <v>0</v>
      </c>
      <c r="C103" s="18">
        <f t="shared" si="44"/>
        <v>0</v>
      </c>
      <c r="D103" s="18" t="e">
        <f t="shared" ref="D103:D112" si="45">IF(AND(B103&lt;&gt;"",C103&lt;&gt;""),C103/B103,"")</f>
        <v>#DIV/0!</v>
      </c>
      <c r="E103" s="18">
        <f t="shared" ref="E103:F110" si="46">K65</f>
        <v>0</v>
      </c>
      <c r="F103" s="18">
        <f t="shared" si="46"/>
        <v>0</v>
      </c>
      <c r="G103" s="18" t="e">
        <f t="shared" ref="G103:G112" si="47">IF(AND(E103&lt;&gt;"",F103&lt;&gt;""),F103/E103,"")</f>
        <v>#DIV/0!</v>
      </c>
      <c r="H103" s="18">
        <f t="shared" ref="H103:I110" si="48">B103+E103</f>
        <v>0</v>
      </c>
      <c r="I103" s="18">
        <f t="shared" si="48"/>
        <v>0</v>
      </c>
      <c r="J103" s="18" t="e">
        <f t="shared" ref="J103:J112" si="49">IF(AND(H103&lt;&gt;"",I103&lt;&gt;""),I103/H103,"")</f>
        <v>#DIV/0!</v>
      </c>
    </row>
    <row r="104" spans="1:10" ht="22" customHeight="1" x14ac:dyDescent="0.25">
      <c r="A104" s="17" t="s">
        <v>29</v>
      </c>
      <c r="B104" s="18">
        <f t="shared" si="44"/>
        <v>0</v>
      </c>
      <c r="C104" s="18">
        <f t="shared" si="44"/>
        <v>0</v>
      </c>
      <c r="D104" s="18" t="e">
        <f t="shared" si="45"/>
        <v>#DIV/0!</v>
      </c>
      <c r="E104" s="18">
        <f t="shared" si="46"/>
        <v>0</v>
      </c>
      <c r="F104" s="18">
        <f t="shared" si="46"/>
        <v>0</v>
      </c>
      <c r="G104" s="18" t="e">
        <f t="shared" si="47"/>
        <v>#DIV/0!</v>
      </c>
      <c r="H104" s="18">
        <f t="shared" si="48"/>
        <v>0</v>
      </c>
      <c r="I104" s="18">
        <f t="shared" si="48"/>
        <v>0</v>
      </c>
      <c r="J104" s="18" t="e">
        <f t="shared" si="49"/>
        <v>#DIV/0!</v>
      </c>
    </row>
    <row r="105" spans="1:10" ht="22" customHeight="1" x14ac:dyDescent="0.25">
      <c r="A105" s="17" t="s">
        <v>30</v>
      </c>
      <c r="B105" s="18">
        <f t="shared" si="44"/>
        <v>0</v>
      </c>
      <c r="C105" s="18">
        <f t="shared" si="44"/>
        <v>0</v>
      </c>
      <c r="D105" s="18" t="e">
        <f t="shared" si="45"/>
        <v>#DIV/0!</v>
      </c>
      <c r="E105" s="18">
        <f t="shared" si="46"/>
        <v>0</v>
      </c>
      <c r="F105" s="18">
        <f t="shared" si="46"/>
        <v>0</v>
      </c>
      <c r="G105" s="18" t="e">
        <f t="shared" si="47"/>
        <v>#DIV/0!</v>
      </c>
      <c r="H105" s="18">
        <f t="shared" si="48"/>
        <v>0</v>
      </c>
      <c r="I105" s="18">
        <f t="shared" si="48"/>
        <v>0</v>
      </c>
      <c r="J105" s="18" t="e">
        <f t="shared" si="49"/>
        <v>#DIV/0!</v>
      </c>
    </row>
    <row r="106" spans="1:10" ht="22" customHeight="1" x14ac:dyDescent="0.25">
      <c r="A106" s="17" t="s">
        <v>31</v>
      </c>
      <c r="B106" s="18">
        <f t="shared" si="44"/>
        <v>0</v>
      </c>
      <c r="C106" s="18">
        <f t="shared" si="44"/>
        <v>0</v>
      </c>
      <c r="D106" s="18" t="e">
        <f t="shared" si="45"/>
        <v>#DIV/0!</v>
      </c>
      <c r="E106" s="18">
        <f t="shared" si="46"/>
        <v>0</v>
      </c>
      <c r="F106" s="18">
        <f t="shared" si="46"/>
        <v>0</v>
      </c>
      <c r="G106" s="18" t="e">
        <f t="shared" si="47"/>
        <v>#DIV/0!</v>
      </c>
      <c r="H106" s="18">
        <f t="shared" si="48"/>
        <v>0</v>
      </c>
      <c r="I106" s="18">
        <f t="shared" si="48"/>
        <v>0</v>
      </c>
      <c r="J106" s="18" t="e">
        <f t="shared" si="49"/>
        <v>#DIV/0!</v>
      </c>
    </row>
    <row r="107" spans="1:10" ht="22" customHeight="1" x14ac:dyDescent="0.25">
      <c r="A107" s="17" t="s">
        <v>32</v>
      </c>
      <c r="B107" s="18">
        <f t="shared" si="44"/>
        <v>0</v>
      </c>
      <c r="C107" s="18">
        <f t="shared" si="44"/>
        <v>0</v>
      </c>
      <c r="D107" s="18" t="e">
        <f t="shared" si="45"/>
        <v>#DIV/0!</v>
      </c>
      <c r="E107" s="18">
        <f t="shared" si="46"/>
        <v>0</v>
      </c>
      <c r="F107" s="18">
        <f t="shared" si="46"/>
        <v>0</v>
      </c>
      <c r="G107" s="18" t="e">
        <f t="shared" si="47"/>
        <v>#DIV/0!</v>
      </c>
      <c r="H107" s="18">
        <f t="shared" si="48"/>
        <v>0</v>
      </c>
      <c r="I107" s="18">
        <f t="shared" si="48"/>
        <v>0</v>
      </c>
      <c r="J107" s="18" t="e">
        <f t="shared" si="49"/>
        <v>#DIV/0!</v>
      </c>
    </row>
    <row r="108" spans="1:10" ht="22" customHeight="1" x14ac:dyDescent="0.25">
      <c r="A108" s="17" t="s">
        <v>33</v>
      </c>
      <c r="B108" s="18">
        <f t="shared" si="44"/>
        <v>0</v>
      </c>
      <c r="C108" s="18">
        <f t="shared" si="44"/>
        <v>0</v>
      </c>
      <c r="D108" s="18" t="e">
        <f t="shared" si="45"/>
        <v>#DIV/0!</v>
      </c>
      <c r="E108" s="18">
        <f t="shared" si="46"/>
        <v>0</v>
      </c>
      <c r="F108" s="18">
        <f t="shared" si="46"/>
        <v>0</v>
      </c>
      <c r="G108" s="18" t="e">
        <f t="shared" si="47"/>
        <v>#DIV/0!</v>
      </c>
      <c r="H108" s="18">
        <f t="shared" si="48"/>
        <v>0</v>
      </c>
      <c r="I108" s="18">
        <f t="shared" si="48"/>
        <v>0</v>
      </c>
      <c r="J108" s="18" t="e">
        <f t="shared" si="49"/>
        <v>#DIV/0!</v>
      </c>
    </row>
    <row r="109" spans="1:10" ht="22" customHeight="1" x14ac:dyDescent="0.25">
      <c r="A109" s="17" t="s">
        <v>34</v>
      </c>
      <c r="B109" s="18">
        <f t="shared" si="44"/>
        <v>0</v>
      </c>
      <c r="C109" s="18">
        <f t="shared" si="44"/>
        <v>0</v>
      </c>
      <c r="D109" s="18" t="e">
        <f t="shared" si="45"/>
        <v>#DIV/0!</v>
      </c>
      <c r="E109" s="18">
        <f t="shared" si="46"/>
        <v>0</v>
      </c>
      <c r="F109" s="18">
        <f t="shared" si="46"/>
        <v>0</v>
      </c>
      <c r="G109" s="18" t="e">
        <f t="shared" si="47"/>
        <v>#DIV/0!</v>
      </c>
      <c r="H109" s="18">
        <f t="shared" si="48"/>
        <v>0</v>
      </c>
      <c r="I109" s="18">
        <f t="shared" si="48"/>
        <v>0</v>
      </c>
      <c r="J109" s="18" t="e">
        <f t="shared" si="49"/>
        <v>#DIV/0!</v>
      </c>
    </row>
    <row r="110" spans="1:10" ht="22" customHeight="1" x14ac:dyDescent="0.25">
      <c r="A110" s="17" t="s">
        <v>35</v>
      </c>
      <c r="B110" s="18">
        <f t="shared" si="44"/>
        <v>0</v>
      </c>
      <c r="C110" s="18">
        <f t="shared" si="44"/>
        <v>0</v>
      </c>
      <c r="D110" s="18" t="e">
        <f t="shared" si="45"/>
        <v>#DIV/0!</v>
      </c>
      <c r="E110" s="18">
        <f t="shared" si="46"/>
        <v>0</v>
      </c>
      <c r="F110" s="18">
        <f t="shared" si="46"/>
        <v>0</v>
      </c>
      <c r="G110" s="18" t="e">
        <f t="shared" si="47"/>
        <v>#DIV/0!</v>
      </c>
      <c r="H110" s="18">
        <f t="shared" si="48"/>
        <v>0</v>
      </c>
      <c r="I110" s="18">
        <f t="shared" si="48"/>
        <v>0</v>
      </c>
      <c r="J110" s="18" t="e">
        <f t="shared" si="49"/>
        <v>#DIV/0!</v>
      </c>
    </row>
    <row r="111" spans="1:10" ht="22" customHeight="1" x14ac:dyDescent="0.25">
      <c r="A111" s="19" t="s">
        <v>36</v>
      </c>
      <c r="B111" s="20">
        <f>SUM(B103:B110)</f>
        <v>0</v>
      </c>
      <c r="C111" s="20">
        <f>SUM(C103:C110)</f>
        <v>0</v>
      </c>
      <c r="D111" s="20" t="e">
        <f t="shared" si="45"/>
        <v>#DIV/0!</v>
      </c>
      <c r="E111" s="20">
        <f>SUM(E103:E110)</f>
        <v>0</v>
      </c>
      <c r="F111" s="20">
        <f>SUM(F103:F110)</f>
        <v>0</v>
      </c>
      <c r="G111" s="20" t="e">
        <f t="shared" si="47"/>
        <v>#DIV/0!</v>
      </c>
      <c r="H111" s="20">
        <f>SUM(H103:H110)</f>
        <v>0</v>
      </c>
      <c r="I111" s="20">
        <f>SUM(I103:I110)</f>
        <v>0</v>
      </c>
      <c r="J111" s="20" t="e">
        <f t="shared" si="49"/>
        <v>#DIV/0!</v>
      </c>
    </row>
    <row r="112" spans="1:10" ht="22" customHeight="1" x14ac:dyDescent="0.25">
      <c r="A112" s="21" t="s">
        <v>37</v>
      </c>
      <c r="B112" s="22">
        <f>B91+B100+B111</f>
        <v>37</v>
      </c>
      <c r="C112" s="22">
        <f>C91+C100+C111</f>
        <v>26</v>
      </c>
      <c r="D112" s="22">
        <f t="shared" si="45"/>
        <v>0.70270270270270274</v>
      </c>
      <c r="E112" s="22">
        <f>E91+E100+E111</f>
        <v>16</v>
      </c>
      <c r="F112" s="22">
        <f>F91+F100+F111</f>
        <v>10</v>
      </c>
      <c r="G112" s="22">
        <f t="shared" si="47"/>
        <v>0.625</v>
      </c>
      <c r="H112" s="22">
        <f>H91+H100+H111</f>
        <v>53</v>
      </c>
      <c r="I112" s="22">
        <f>I91+I100+I111</f>
        <v>36</v>
      </c>
      <c r="J112" s="22">
        <f t="shared" si="49"/>
        <v>0.67924528301886788</v>
      </c>
    </row>
  </sheetData>
  <mergeCells count="22">
    <mergeCell ref="A102:J102"/>
    <mergeCell ref="H3:J3"/>
    <mergeCell ref="A26:J26"/>
    <mergeCell ref="A77:J77"/>
    <mergeCell ref="A1:J1"/>
    <mergeCell ref="H41:J41"/>
    <mergeCell ref="A81:J81"/>
    <mergeCell ref="H79:J79"/>
    <mergeCell ref="A55:M55"/>
    <mergeCell ref="K41:M41"/>
    <mergeCell ref="A39:M39"/>
    <mergeCell ref="E41:G41"/>
    <mergeCell ref="A17:J17"/>
    <mergeCell ref="B41:D41"/>
    <mergeCell ref="B3:D3"/>
    <mergeCell ref="E79:G79"/>
    <mergeCell ref="A5:J5"/>
    <mergeCell ref="A93:J93"/>
    <mergeCell ref="E3:G3"/>
    <mergeCell ref="A64:M64"/>
    <mergeCell ref="B79:D79"/>
    <mergeCell ref="A43:M43"/>
  </mergeCells>
  <phoneticPr fontId="8" type="noConversion"/>
  <conditionalFormatting sqref="D6:D15">
    <cfRule type="cellIs" dxfId="110" priority="1" operator="greaterThanOrEqual">
      <formula>0.9</formula>
    </cfRule>
    <cfRule type="cellIs" dxfId="109" priority="2" operator="between">
      <formula>0.8</formula>
      <formula>0.9</formula>
    </cfRule>
    <cfRule type="cellIs" dxfId="108" priority="3" operator="lessThan">
      <formula>0.8</formula>
    </cfRule>
  </conditionalFormatting>
  <conditionalFormatting sqref="D18:D24">
    <cfRule type="cellIs" dxfId="107" priority="10" operator="greaterThanOrEqual">
      <formula>0.9</formula>
    </cfRule>
    <cfRule type="cellIs" dxfId="106" priority="11" operator="between">
      <formula>0.8</formula>
      <formula>0.9</formula>
    </cfRule>
    <cfRule type="cellIs" dxfId="105" priority="12" operator="lessThan">
      <formula>0.8</formula>
    </cfRule>
  </conditionalFormatting>
  <conditionalFormatting sqref="D27:D36">
    <cfRule type="cellIs" dxfId="104" priority="19" operator="greaterThanOrEqual">
      <formula>0.9</formula>
    </cfRule>
    <cfRule type="cellIs" dxfId="103" priority="20" operator="between">
      <formula>0.8</formula>
      <formula>0.9</formula>
    </cfRule>
    <cfRule type="cellIs" dxfId="102" priority="21" operator="lessThan">
      <formula>0.8</formula>
    </cfRule>
  </conditionalFormatting>
  <conditionalFormatting sqref="D44:D53">
    <cfRule type="cellIs" dxfId="101" priority="66" operator="lessThan">
      <formula>0.8</formula>
    </cfRule>
    <cfRule type="cellIs" dxfId="100" priority="65" operator="between">
      <formula>0.8</formula>
      <formula>0.9</formula>
    </cfRule>
    <cfRule type="cellIs" dxfId="99" priority="64" operator="greaterThanOrEqual">
      <formula>0.9</formula>
    </cfRule>
  </conditionalFormatting>
  <conditionalFormatting sqref="D55:D60">
    <cfRule type="cellIs" dxfId="98" priority="78" operator="lessThan">
      <formula>0.8</formula>
    </cfRule>
    <cfRule type="cellIs" dxfId="97" priority="77" operator="between">
      <formula>0.8</formula>
      <formula>0.9</formula>
    </cfRule>
    <cfRule type="cellIs" dxfId="96" priority="76" operator="greaterThanOrEqual">
      <formula>0.9</formula>
    </cfRule>
  </conditionalFormatting>
  <conditionalFormatting sqref="D62:D70">
    <cfRule type="cellIs" dxfId="95" priority="88" operator="greaterThanOrEqual">
      <formula>0.9</formula>
    </cfRule>
    <cfRule type="cellIs" dxfId="94" priority="89" operator="between">
      <formula>0.8</formula>
      <formula>0.9</formula>
    </cfRule>
    <cfRule type="cellIs" dxfId="93" priority="90" operator="lessThan">
      <formula>0.8</formula>
    </cfRule>
  </conditionalFormatting>
  <conditionalFormatting sqref="D73:D74">
    <cfRule type="cellIs" dxfId="92" priority="124" operator="greaterThanOrEqual">
      <formula>0.9</formula>
    </cfRule>
    <cfRule type="cellIs" dxfId="91" priority="125" operator="between">
      <formula>0.8</formula>
      <formula>0.9</formula>
    </cfRule>
    <cfRule type="cellIs" dxfId="90" priority="126" operator="lessThan">
      <formula>0.8</formula>
    </cfRule>
  </conditionalFormatting>
  <conditionalFormatting sqref="D82:D91">
    <cfRule type="cellIs" dxfId="89" priority="150" operator="lessThan">
      <formula>0.8</formula>
    </cfRule>
    <cfRule type="cellIs" dxfId="88" priority="149" operator="between">
      <formula>0.8</formula>
      <formula>0.9</formula>
    </cfRule>
    <cfRule type="cellIs" dxfId="87" priority="148" operator="greaterThanOrEqual">
      <formula>0.9</formula>
    </cfRule>
  </conditionalFormatting>
  <conditionalFormatting sqref="D93:D98">
    <cfRule type="cellIs" dxfId="86" priority="158" operator="between">
      <formula>0.8</formula>
      <formula>0.9</formula>
    </cfRule>
    <cfRule type="cellIs" dxfId="85" priority="159" operator="lessThan">
      <formula>0.8</formula>
    </cfRule>
    <cfRule type="cellIs" dxfId="84" priority="157" operator="greaterThanOrEqual">
      <formula>0.9</formula>
    </cfRule>
  </conditionalFormatting>
  <conditionalFormatting sqref="D100:D108">
    <cfRule type="cellIs" dxfId="83" priority="168" operator="lessThan">
      <formula>0.8</formula>
    </cfRule>
    <cfRule type="cellIs" dxfId="82" priority="167" operator="between">
      <formula>0.8</formula>
      <formula>0.9</formula>
    </cfRule>
    <cfRule type="cellIs" dxfId="81" priority="166" operator="greaterThanOrEqual">
      <formula>0.9</formula>
    </cfRule>
  </conditionalFormatting>
  <conditionalFormatting sqref="D111:D112">
    <cfRule type="cellIs" dxfId="80" priority="194" operator="between">
      <formula>0.8</formula>
      <formula>0.9</formula>
    </cfRule>
    <cfRule type="cellIs" dxfId="79" priority="195" operator="lessThan">
      <formula>0.8</formula>
    </cfRule>
    <cfRule type="cellIs" dxfId="78" priority="193" operator="greaterThanOrEqual">
      <formula>0.9</formula>
    </cfRule>
  </conditionalFormatting>
  <conditionalFormatting sqref="G6:G15">
    <cfRule type="cellIs" dxfId="77" priority="4" operator="greaterThanOrEqual">
      <formula>0.9</formula>
    </cfRule>
    <cfRule type="cellIs" dxfId="76" priority="5" operator="between">
      <formula>0.8</formula>
      <formula>0.9</formula>
    </cfRule>
    <cfRule type="cellIs" dxfId="75" priority="6" operator="lessThan">
      <formula>0.8</formula>
    </cfRule>
  </conditionalFormatting>
  <conditionalFormatting sqref="G18:G24">
    <cfRule type="cellIs" dxfId="74" priority="13" operator="greaterThanOrEqual">
      <formula>0.9</formula>
    </cfRule>
    <cfRule type="cellIs" dxfId="73" priority="14" operator="between">
      <formula>0.8</formula>
      <formula>0.9</formula>
    </cfRule>
    <cfRule type="cellIs" dxfId="72" priority="15" operator="lessThan">
      <formula>0.8</formula>
    </cfRule>
  </conditionalFormatting>
  <conditionalFormatting sqref="G27:G36">
    <cfRule type="cellIs" dxfId="71" priority="22" operator="greaterThanOrEqual">
      <formula>0.9</formula>
    </cfRule>
    <cfRule type="cellIs" dxfId="70" priority="23" operator="between">
      <formula>0.8</formula>
      <formula>0.9</formula>
    </cfRule>
    <cfRule type="cellIs" dxfId="69" priority="24" operator="lessThan">
      <formula>0.8</formula>
    </cfRule>
  </conditionalFormatting>
  <conditionalFormatting sqref="G44:G53">
    <cfRule type="cellIs" dxfId="68" priority="69" operator="lessThan">
      <formula>0.8</formula>
    </cfRule>
    <cfRule type="cellIs" dxfId="67" priority="68" operator="between">
      <formula>0.8</formula>
      <formula>0.9</formula>
    </cfRule>
    <cfRule type="cellIs" dxfId="66" priority="67" operator="greaterThanOrEqual">
      <formula>0.9</formula>
    </cfRule>
  </conditionalFormatting>
  <conditionalFormatting sqref="G55:G60">
    <cfRule type="cellIs" dxfId="65" priority="81" operator="lessThan">
      <formula>0.8</formula>
    </cfRule>
    <cfRule type="cellIs" dxfId="64" priority="79" operator="greaterThanOrEqual">
      <formula>0.9</formula>
    </cfRule>
    <cfRule type="cellIs" dxfId="63" priority="80" operator="between">
      <formula>0.8</formula>
      <formula>0.9</formula>
    </cfRule>
  </conditionalFormatting>
  <conditionalFormatting sqref="G62:G70">
    <cfRule type="cellIs" dxfId="62" priority="93" operator="lessThan">
      <formula>0.8</formula>
    </cfRule>
    <cfRule type="cellIs" dxfId="61" priority="91" operator="greaterThanOrEqual">
      <formula>0.9</formula>
    </cfRule>
    <cfRule type="cellIs" dxfId="60" priority="92" operator="between">
      <formula>0.8</formula>
      <formula>0.9</formula>
    </cfRule>
  </conditionalFormatting>
  <conditionalFormatting sqref="G73:G74">
    <cfRule type="cellIs" dxfId="59" priority="128" operator="between">
      <formula>0.8</formula>
      <formula>0.9</formula>
    </cfRule>
    <cfRule type="cellIs" dxfId="58" priority="129" operator="lessThan">
      <formula>0.8</formula>
    </cfRule>
    <cfRule type="cellIs" dxfId="57" priority="127" operator="greaterThanOrEqual">
      <formula>0.9</formula>
    </cfRule>
  </conditionalFormatting>
  <conditionalFormatting sqref="G82:G91">
    <cfRule type="cellIs" dxfId="56" priority="152" operator="between">
      <formula>0.8</formula>
      <formula>0.9</formula>
    </cfRule>
    <cfRule type="cellIs" dxfId="55" priority="151" operator="greaterThanOrEqual">
      <formula>0.9</formula>
    </cfRule>
    <cfRule type="cellIs" dxfId="54" priority="153" operator="lessThan">
      <formula>0.8</formula>
    </cfRule>
  </conditionalFormatting>
  <conditionalFormatting sqref="G93:G98">
    <cfRule type="cellIs" dxfId="53" priority="160" operator="greaterThanOrEqual">
      <formula>0.9</formula>
    </cfRule>
    <cfRule type="cellIs" dxfId="52" priority="161" operator="between">
      <formula>0.8</formula>
      <formula>0.9</formula>
    </cfRule>
    <cfRule type="cellIs" dxfId="51" priority="162" operator="lessThan">
      <formula>0.8</formula>
    </cfRule>
  </conditionalFormatting>
  <conditionalFormatting sqref="G100:G108">
    <cfRule type="cellIs" dxfId="50" priority="171" operator="lessThan">
      <formula>0.8</formula>
    </cfRule>
    <cfRule type="cellIs" dxfId="49" priority="170" operator="between">
      <formula>0.8</formula>
      <formula>0.9</formula>
    </cfRule>
    <cfRule type="cellIs" dxfId="48" priority="169" operator="greaterThanOrEqual">
      <formula>0.9</formula>
    </cfRule>
  </conditionalFormatting>
  <conditionalFormatting sqref="G111:G112">
    <cfRule type="cellIs" dxfId="47" priority="196" operator="greaterThanOrEqual">
      <formula>0.9</formula>
    </cfRule>
    <cfRule type="cellIs" dxfId="46" priority="197" operator="between">
      <formula>0.8</formula>
      <formula>0.9</formula>
    </cfRule>
    <cfRule type="cellIs" dxfId="45" priority="198" operator="lessThan">
      <formula>0.8</formula>
    </cfRule>
  </conditionalFormatting>
  <conditionalFormatting sqref="J6:J15">
    <cfRule type="cellIs" dxfId="44" priority="9" operator="lessThan">
      <formula>0.8</formula>
    </cfRule>
    <cfRule type="cellIs" dxfId="43" priority="8" operator="between">
      <formula>0.8</formula>
      <formula>0.9</formula>
    </cfRule>
    <cfRule type="cellIs" dxfId="42" priority="7" operator="greaterThanOrEqual">
      <formula>0.9</formula>
    </cfRule>
  </conditionalFormatting>
  <conditionalFormatting sqref="J18:J24">
    <cfRule type="cellIs" dxfId="41" priority="18" operator="lessThan">
      <formula>0.8</formula>
    </cfRule>
    <cfRule type="cellIs" dxfId="40" priority="17" operator="between">
      <formula>0.8</formula>
      <formula>0.9</formula>
    </cfRule>
    <cfRule type="cellIs" dxfId="39" priority="16" operator="greaterThanOrEqual">
      <formula>0.9</formula>
    </cfRule>
  </conditionalFormatting>
  <conditionalFormatting sqref="J27:J36">
    <cfRule type="cellIs" dxfId="38" priority="27" operator="lessThan">
      <formula>0.8</formula>
    </cfRule>
    <cfRule type="cellIs" dxfId="37" priority="26" operator="between">
      <formula>0.8</formula>
      <formula>0.9</formula>
    </cfRule>
    <cfRule type="cellIs" dxfId="36" priority="25" operator="greaterThanOrEqual">
      <formula>0.9</formula>
    </cfRule>
  </conditionalFormatting>
  <conditionalFormatting sqref="J44:J53">
    <cfRule type="cellIs" dxfId="35" priority="71" operator="between">
      <formula>0.8</formula>
      <formula>0.9</formula>
    </cfRule>
    <cfRule type="cellIs" dxfId="34" priority="72" operator="lessThan">
      <formula>0.8</formula>
    </cfRule>
    <cfRule type="cellIs" dxfId="33" priority="70" operator="greaterThanOrEqual">
      <formula>0.9</formula>
    </cfRule>
  </conditionalFormatting>
  <conditionalFormatting sqref="J55:J60">
    <cfRule type="cellIs" dxfId="32" priority="82" operator="greaterThanOrEqual">
      <formula>0.9</formula>
    </cfRule>
    <cfRule type="cellIs" dxfId="31" priority="83" operator="between">
      <formula>0.8</formula>
      <formula>0.9</formula>
    </cfRule>
    <cfRule type="cellIs" dxfId="30" priority="84" operator="lessThan">
      <formula>0.8</formula>
    </cfRule>
  </conditionalFormatting>
  <conditionalFormatting sqref="J62:J70">
    <cfRule type="cellIs" dxfId="29" priority="94" operator="greaterThanOrEqual">
      <formula>0.9</formula>
    </cfRule>
    <cfRule type="cellIs" dxfId="28" priority="95" operator="between">
      <formula>0.8</formula>
      <formula>0.9</formula>
    </cfRule>
    <cfRule type="cellIs" dxfId="27" priority="96" operator="lessThan">
      <formula>0.8</formula>
    </cfRule>
  </conditionalFormatting>
  <conditionalFormatting sqref="J73:J74">
    <cfRule type="cellIs" dxfId="26" priority="132" operator="lessThan">
      <formula>0.8</formula>
    </cfRule>
    <cfRule type="cellIs" dxfId="25" priority="130" operator="greaterThanOrEqual">
      <formula>0.9</formula>
    </cfRule>
    <cfRule type="cellIs" dxfId="24" priority="131" operator="between">
      <formula>0.8</formula>
      <formula>0.9</formula>
    </cfRule>
  </conditionalFormatting>
  <conditionalFormatting sqref="J82:J91">
    <cfRule type="cellIs" dxfId="23" priority="154" operator="greaterThanOrEqual">
      <formula>0.9</formula>
    </cfRule>
    <cfRule type="cellIs" dxfId="22" priority="155" operator="between">
      <formula>0.8</formula>
      <formula>0.9</formula>
    </cfRule>
    <cfRule type="cellIs" dxfId="21" priority="156" operator="lessThan">
      <formula>0.8</formula>
    </cfRule>
  </conditionalFormatting>
  <conditionalFormatting sqref="J93:J98">
    <cfRule type="cellIs" dxfId="20" priority="164" operator="between">
      <formula>0.8</formula>
      <formula>0.9</formula>
    </cfRule>
    <cfRule type="cellIs" dxfId="19" priority="163" operator="greaterThanOrEqual">
      <formula>0.9</formula>
    </cfRule>
    <cfRule type="cellIs" dxfId="18" priority="165" operator="lessThan">
      <formula>0.8</formula>
    </cfRule>
  </conditionalFormatting>
  <conditionalFormatting sqref="J100:J108">
    <cfRule type="cellIs" dxfId="17" priority="172" operator="greaterThanOrEqual">
      <formula>0.9</formula>
    </cfRule>
    <cfRule type="cellIs" dxfId="16" priority="173" operator="between">
      <formula>0.8</formula>
      <formula>0.9</formula>
    </cfRule>
    <cfRule type="cellIs" dxfId="15" priority="174" operator="lessThan">
      <formula>0.8</formula>
    </cfRule>
  </conditionalFormatting>
  <conditionalFormatting sqref="J111:J112">
    <cfRule type="cellIs" dxfId="14" priority="199" operator="greaterThanOrEqual">
      <formula>0.9</formula>
    </cfRule>
    <cfRule type="cellIs" dxfId="13" priority="200" operator="between">
      <formula>0.8</formula>
      <formula>0.9</formula>
    </cfRule>
    <cfRule type="cellIs" dxfId="12" priority="201" operator="lessThan">
      <formula>0.8</formula>
    </cfRule>
  </conditionalFormatting>
  <conditionalFormatting sqref="M44:M53">
    <cfRule type="cellIs" dxfId="11" priority="75" operator="lessThan">
      <formula>0.8</formula>
    </cfRule>
    <cfRule type="cellIs" dxfId="10" priority="74" operator="between">
      <formula>0.8</formula>
      <formula>0.9</formula>
    </cfRule>
    <cfRule type="cellIs" dxfId="9" priority="73" operator="greaterThanOrEqual">
      <formula>0.9</formula>
    </cfRule>
  </conditionalFormatting>
  <conditionalFormatting sqref="M55:M60">
    <cfRule type="cellIs" dxfId="8" priority="87" operator="lessThan">
      <formula>0.8</formula>
    </cfRule>
    <cfRule type="cellIs" dxfId="7" priority="86" operator="between">
      <formula>0.8</formula>
      <formula>0.9</formula>
    </cfRule>
    <cfRule type="cellIs" dxfId="6" priority="85" operator="greaterThanOrEqual">
      <formula>0.9</formula>
    </cfRule>
  </conditionalFormatting>
  <conditionalFormatting sqref="M62:M70">
    <cfRule type="cellIs" dxfId="5" priority="98" operator="between">
      <formula>0.8</formula>
      <formula>0.9</formula>
    </cfRule>
    <cfRule type="cellIs" dxfId="4" priority="99" operator="lessThan">
      <formula>0.8</formula>
    </cfRule>
    <cfRule type="cellIs" dxfId="3" priority="97" operator="greaterThanOrEqual">
      <formula>0.9</formula>
    </cfRule>
  </conditionalFormatting>
  <conditionalFormatting sqref="M73:M74">
    <cfRule type="cellIs" dxfId="2" priority="133" operator="greaterThanOrEqual">
      <formula>0.9</formula>
    </cfRule>
    <cfRule type="cellIs" dxfId="1" priority="135" operator="lessThan">
      <formula>0.8</formula>
    </cfRule>
    <cfRule type="cellIs" dxfId="0" priority="134" operator="between">
      <formula>0.8</formula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张宇1000题</vt:lpstr>
      <vt:lpstr>王道操作系统</vt:lpstr>
      <vt:lpstr>王道计组</vt:lpstr>
      <vt:lpstr>王道数据结构</vt:lpstr>
      <vt:lpstr>王道计网</vt:lpstr>
      <vt:lpstr>李林880专题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2026-06-14T03:07:57Z</dcterms:modified>
</cp:coreProperties>
</file>