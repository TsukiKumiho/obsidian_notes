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749A5A13-8345-44CF-A973-40EF18BAA05F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<sst xmlns="http://schemas.openxmlformats.org/spreadsheetml/2006/main" count="567" uniqueCount="306">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</sst>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4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4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4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6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7" t="s">
        <v>115</v>
      </c>
      <c r="D3" s="57"/>
      <c r="E3" s="58"/>
      <c r="F3" s="70" t="s">
        <v>305</v>
      </c>
      <c r="G3" s="57"/>
      <c r="H3" s="58"/>
      <c r="I3" s="69" t="s">
        <v>116</v>
      </c>
      <c r="J3" s="57"/>
      <c r="K3" s="58"/>
      <c r="L3" s="68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abSelected="1" topLeftCell="A28" zoomScale="86" workbookViewId="0">
      <selection activeCell="F47" sqref="F4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4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2" t="s">
        <v>52</v>
      </c>
      <c r="D3" s="57"/>
      <c r="E3" s="58"/>
      <c r="F3" s="60" t="s">
        <v>106</v>
      </c>
      <c r="G3" s="57"/>
      <c r="H3" s="58"/>
      <c r="I3" s="59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56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/>
      <c r="G7" s="4"/>
      <c r="H7" s="4" t="str">
        <f t="shared" si="1"/>
        <v/>
      </c>
      <c r="I7" s="4">
        <f t="shared" si="2"/>
        <v>34</v>
      </c>
      <c r="J7" s="4">
        <f t="shared" si="3"/>
        <v>29</v>
      </c>
      <c r="K7" s="4">
        <f t="shared" si="4"/>
        <v>0.8529411764705882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71</v>
      </c>
      <c r="J15" s="7">
        <f>SUM(J6:J14)</f>
        <v>64</v>
      </c>
      <c r="K15" s="7">
        <f t="shared" si="4"/>
        <v>0.90140845070422537</v>
      </c>
    </row>
    <row r="16" spans="1:11" ht="22" customHeight="1" x14ac:dyDescent="0.25"/>
    <row r="17" spans="1:11" ht="22" customHeight="1" x14ac:dyDescent="0.25">
      <c r="A17" s="56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6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71</v>
      </c>
      <c r="J36" s="10">
        <f>J15+J24+J35</f>
        <v>64</v>
      </c>
      <c r="K36" s="10">
        <f t="shared" si="12"/>
        <v>0.90140845070422537</v>
      </c>
    </row>
    <row r="39" spans="1:14" ht="30" customHeight="1" x14ac:dyDescent="0.25">
      <c r="A39" s="63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2" t="s">
        <v>52</v>
      </c>
      <c r="D41" s="57"/>
      <c r="E41" s="58"/>
      <c r="F41" s="60" t="s">
        <v>106</v>
      </c>
      <c r="G41" s="57"/>
      <c r="H41" s="58"/>
      <c r="I41" s="61" t="s">
        <v>156</v>
      </c>
      <c r="J41" s="57"/>
      <c r="K41" s="58"/>
      <c r="L41" s="59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56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19</v>
      </c>
      <c r="M45" s="4">
        <f t="shared" si="18"/>
        <v>12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38</v>
      </c>
      <c r="M53" s="7">
        <f>SUM(M44:M52)</f>
        <v>23</v>
      </c>
      <c r="N53" s="7">
        <f t="shared" si="19"/>
        <v>0.60526315789473684</v>
      </c>
    </row>
    <row r="54" spans="1:14" ht="22" customHeight="1" x14ac:dyDescent="0.25"/>
    <row r="55" spans="1:14" ht="22" customHeight="1" x14ac:dyDescent="0.25">
      <c r="A55" s="56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6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38</v>
      </c>
      <c r="M74" s="10">
        <f>M53+M62+M73</f>
        <v>23</v>
      </c>
      <c r="N74" s="10">
        <f t="shared" si="31"/>
        <v>0.60526315789473684</v>
      </c>
    </row>
    <row r="77" spans="1:14" ht="30" customHeight="1" x14ac:dyDescent="0.25">
      <c r="A77" s="63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2" t="s">
        <v>158</v>
      </c>
      <c r="D79" s="57"/>
      <c r="E79" s="58"/>
      <c r="F79" s="60" t="s">
        <v>155</v>
      </c>
      <c r="G79" s="57"/>
      <c r="H79" s="58"/>
      <c r="I79" s="59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6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34</v>
      </c>
      <c r="D83" s="4">
        <f t="shared" si="34"/>
        <v>29</v>
      </c>
      <c r="E83" s="4">
        <f t="shared" si="35"/>
        <v>0.8529411764705882</v>
      </c>
      <c r="F83" s="4">
        <f t="shared" si="36"/>
        <v>19</v>
      </c>
      <c r="G83" s="4">
        <f t="shared" si="37"/>
        <v>12</v>
      </c>
      <c r="H83" s="4">
        <f t="shared" si="38"/>
        <v>0.63157894736842102</v>
      </c>
      <c r="I83" s="4">
        <f t="shared" si="39"/>
        <v>53</v>
      </c>
      <c r="J83" s="4">
        <f t="shared" si="40"/>
        <v>41</v>
      </c>
      <c r="K83" s="4">
        <f t="shared" si="41"/>
        <v>0.77358490566037741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71</v>
      </c>
      <c r="D91" s="7">
        <f>SUM(D82:D90)</f>
        <v>64</v>
      </c>
      <c r="E91" s="7">
        <f t="shared" si="35"/>
        <v>0.90140845070422537</v>
      </c>
      <c r="F91" s="7">
        <f>SUM(F82:F90)</f>
        <v>38</v>
      </c>
      <c r="G91" s="7">
        <f>SUM(G82:G90)</f>
        <v>23</v>
      </c>
      <c r="H91" s="7">
        <f t="shared" si="38"/>
        <v>0.60526315789473684</v>
      </c>
      <c r="I91" s="7">
        <f>SUM(I82:I90)</f>
        <v>109</v>
      </c>
      <c r="J91" s="7">
        <f>SUM(J82:J90)</f>
        <v>87</v>
      </c>
      <c r="K91" s="7">
        <f t="shared" si="41"/>
        <v>0.79816513761467889</v>
      </c>
    </row>
    <row r="92" spans="1:11" ht="22" customHeight="1" x14ac:dyDescent="0.25"/>
    <row r="93" spans="1:11" ht="22" customHeight="1" x14ac:dyDescent="0.25">
      <c r="A93" s="56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6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71</v>
      </c>
      <c r="D112" s="10">
        <f>D91+D100+D111</f>
        <v>64</v>
      </c>
      <c r="E112" s="10">
        <f t="shared" si="51"/>
        <v>0.90140845070422537</v>
      </c>
      <c r="F112" s="10">
        <f>F91+F100+F111</f>
        <v>38</v>
      </c>
      <c r="G112" s="10">
        <f>G91+G100+G111</f>
        <v>23</v>
      </c>
      <c r="H112" s="10">
        <f t="shared" si="53"/>
        <v>0.60526315789473684</v>
      </c>
      <c r="I112" s="10">
        <f>I91+I100+I111</f>
        <v>109</v>
      </c>
      <c r="J112" s="10">
        <f>J91+J100+J111</f>
        <v>87</v>
      </c>
      <c r="K112" s="10">
        <f t="shared" si="55"/>
        <v>0.79816513761467889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1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4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1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3" zoomScale="86" workbookViewId="0">
      <selection activeCell="B24" sqref="B24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1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277</v>
      </c>
      <c r="D39" s="18">
        <f>SUM(D5:D38)</f>
        <v>225</v>
      </c>
      <c r="E39" s="18">
        <f t="shared" si="20"/>
        <v>0.81227436823104693</v>
      </c>
      <c r="F39" s="18">
        <f>SUM(F5:F38)</f>
        <v>64</v>
      </c>
      <c r="G39" s="18">
        <f>SUM(G5:G38)</f>
        <v>53</v>
      </c>
      <c r="H39" s="18">
        <f t="shared" si="21"/>
        <v>0.828125</v>
      </c>
      <c r="I39" s="18">
        <f>SUM(I5:I38)</f>
        <v>213</v>
      </c>
      <c r="J39" s="18">
        <f>SUM(J5:J38)</f>
        <v>172</v>
      </c>
      <c r="K39" s="18">
        <f t="shared" si="23"/>
        <v>0.80751173708920188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277</v>
      </c>
      <c r="D41" s="21">
        <f>D39+O39</f>
        <v>225</v>
      </c>
      <c r="E41" s="21">
        <f>IF(AND(C41&lt;&gt;"",D41&lt;&gt;""),D41/C41,"")</f>
        <v>0.81227436823104693</v>
      </c>
      <c r="F41" s="21">
        <f>F39+Q39</f>
        <v>64</v>
      </c>
      <c r="G41" s="21">
        <f>G39+R39</f>
        <v>53</v>
      </c>
      <c r="H41" s="21">
        <f>IF(AND(F41&lt;&gt;"",G41&lt;&gt;""),G41/F41,"")</f>
        <v>0.828125</v>
      </c>
      <c r="I41" s="21">
        <f>I39+T39</f>
        <v>213</v>
      </c>
      <c r="J41" s="21">
        <f>J39+U39</f>
        <v>172</v>
      </c>
      <c r="K41" s="21">
        <f>IF(AND(I41&lt;&gt;"",J41&lt;&gt;""),J41/I41,"")</f>
        <v>0.80751173708920188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J10" sqref="J10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5</v>
      </c>
      <c r="X10" s="48">
        <f t="shared" si="6"/>
        <v>0.25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25</v>
      </c>
      <c r="X21" s="46">
        <f t="shared" si="6"/>
        <v>7.8125E-2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25</v>
      </c>
      <c r="X23" s="53">
        <f>IF(AND(V23&lt;&gt;"",W23&lt;&gt;""),W23/V23,"")</f>
        <v>7.8125E-2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2026-06-26T13:58:53Z</dcterms:modified>
</cp:coreProperties>
</file>