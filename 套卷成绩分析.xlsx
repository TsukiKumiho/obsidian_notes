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F55046EC-B229-4AC0-9BBA-B8B84115368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使用说明" sheetId="1" r:id="rId1"/>
    <sheet name="数学一" sheetId="2" r:id="rId2"/>
    <sheet name="英语一" sheetId="3" r:id="rId3"/>
    <sheet name="408综合" sheetId="4" r:id="rId4"/>
    <sheet name="政治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9" i="5" l="1"/>
  <c r="K109" i="5"/>
  <c r="J109" i="5"/>
  <c r="I109" i="5"/>
  <c r="H109" i="5"/>
  <c r="C109" i="5"/>
  <c r="L108" i="5"/>
  <c r="K108" i="5"/>
  <c r="J108" i="5"/>
  <c r="I108" i="5"/>
  <c r="H108" i="5"/>
  <c r="C108" i="5"/>
  <c r="L107" i="5"/>
  <c r="K107" i="5"/>
  <c r="J107" i="5"/>
  <c r="I107" i="5"/>
  <c r="H107" i="5"/>
  <c r="C107" i="5"/>
  <c r="P109" i="4"/>
  <c r="O109" i="4"/>
  <c r="N109" i="4"/>
  <c r="M109" i="4"/>
  <c r="L109" i="4"/>
  <c r="K109" i="4"/>
  <c r="J109" i="4"/>
  <c r="I109" i="4"/>
  <c r="H109" i="4"/>
  <c r="C109" i="4"/>
  <c r="P108" i="4"/>
  <c r="O108" i="4"/>
  <c r="N108" i="4"/>
  <c r="M108" i="4"/>
  <c r="L108" i="4"/>
  <c r="K108" i="4"/>
  <c r="J108" i="4"/>
  <c r="I108" i="4"/>
  <c r="H108" i="4"/>
  <c r="C108" i="4"/>
  <c r="P107" i="4"/>
  <c r="O107" i="4"/>
  <c r="N107" i="4"/>
  <c r="M107" i="4"/>
  <c r="L107" i="4"/>
  <c r="K107" i="4"/>
  <c r="J107" i="4"/>
  <c r="I107" i="4"/>
  <c r="H107" i="4"/>
  <c r="C107" i="4"/>
  <c r="Q109" i="3"/>
  <c r="P109" i="3"/>
  <c r="O109" i="3"/>
  <c r="N109" i="3"/>
  <c r="M109" i="3"/>
  <c r="L109" i="3"/>
  <c r="K109" i="3"/>
  <c r="J109" i="3"/>
  <c r="I109" i="3"/>
  <c r="H109" i="3"/>
  <c r="C109" i="3"/>
  <c r="Q108" i="3"/>
  <c r="P108" i="3"/>
  <c r="O108" i="3"/>
  <c r="N108" i="3"/>
  <c r="M108" i="3"/>
  <c r="L108" i="3"/>
  <c r="K108" i="3"/>
  <c r="J108" i="3"/>
  <c r="I108" i="3"/>
  <c r="H108" i="3"/>
  <c r="C108" i="3"/>
  <c r="Q107" i="3"/>
  <c r="P107" i="3"/>
  <c r="O107" i="3"/>
  <c r="N107" i="3"/>
  <c r="M107" i="3"/>
  <c r="L107" i="3"/>
  <c r="K107" i="3"/>
  <c r="J107" i="3"/>
  <c r="I107" i="3"/>
  <c r="H107" i="3"/>
  <c r="C107" i="3"/>
  <c r="Q109" i="2"/>
  <c r="P109" i="2"/>
  <c r="O109" i="2"/>
  <c r="N109" i="2"/>
  <c r="M109" i="2"/>
  <c r="L109" i="2"/>
  <c r="K109" i="2"/>
  <c r="J109" i="2"/>
  <c r="I109" i="2"/>
  <c r="H109" i="2"/>
  <c r="C109" i="2"/>
  <c r="Q108" i="2"/>
  <c r="P108" i="2"/>
  <c r="O108" i="2"/>
  <c r="N108" i="2"/>
  <c r="M108" i="2"/>
  <c r="L108" i="2"/>
  <c r="K108" i="2"/>
  <c r="J108" i="2"/>
  <c r="I108" i="2"/>
  <c r="H108" i="2"/>
  <c r="C108" i="2"/>
  <c r="Q107" i="2"/>
  <c r="P107" i="2"/>
  <c r="O107" i="2"/>
  <c r="N107" i="2"/>
  <c r="M107" i="2"/>
  <c r="L107" i="2"/>
  <c r="K107" i="2"/>
  <c r="J107" i="2"/>
  <c r="I107" i="2"/>
  <c r="H107" i="2"/>
  <c r="C107" i="2"/>
</calcChain>
</file>

<file path=xl/sharedStrings.xml><?xml version="1.0" encoding="utf-8"?>
<sst xmlns="http://schemas.openxmlformats.org/spreadsheetml/2006/main" count="118" uniqueCount="69">
  <si>
    <t>政治套卷成绩追踪</t>
  </si>
  <si>
    <t>记录对象：政治套卷，适合后期开始使用。</t>
  </si>
  <si>
    <t>重点观察选择题、分析题与时政相关内容的失分变化。</t>
  </si>
  <si>
    <t>难度建议统一填：简单 / 中等 / 偏难 / 很难</t>
  </si>
  <si>
    <t>卷子类型</t>
  </si>
  <si>
    <t>套卷名称</t>
  </si>
  <si>
    <t>分数</t>
  </si>
  <si>
    <t>难度</t>
  </si>
  <si>
    <t>日期</t>
  </si>
  <si>
    <t>完成时间</t>
  </si>
  <si>
    <t>做题心态</t>
  </si>
  <si>
    <t>失误失分</t>
  </si>
  <si>
    <t>不会做失分</t>
  </si>
  <si>
    <t>选择题失分</t>
  </si>
  <si>
    <t>分析题失分</t>
  </si>
  <si>
    <t>时政失分</t>
  </si>
  <si>
    <t>失分板块</t>
  </si>
  <si>
    <t>试卷备注</t>
  </si>
  <si>
    <t>统计区（自动公式）</t>
  </si>
  <si>
    <t>真题卷平均</t>
  </si>
  <si>
    <t>模拟卷平均</t>
  </si>
  <si>
    <t>总平均</t>
  </si>
  <si>
    <t>408 套卷成绩追踪</t>
  </si>
  <si>
    <t>记录对象：408 综合卷，兼容真题卷与模拟卷。</t>
  </si>
  <si>
    <t>重点观察客观 / 主观 / 编程结构，以及数据结构、组成原理、操作系统、计算机网络四门课的失分分布。</t>
  </si>
  <si>
    <t>客观失分</t>
  </si>
  <si>
    <t>主观失分</t>
  </si>
  <si>
    <t>编程失分</t>
  </si>
  <si>
    <t>数据结构失分</t>
  </si>
  <si>
    <t>计算机组成原理失分</t>
  </si>
  <si>
    <t>计算机网络失分</t>
  </si>
  <si>
    <t>操作系统失分</t>
  </si>
  <si>
    <t>英语一套卷成绩追踪</t>
  </si>
  <si>
    <t>记录对象：英语一整套卷，兼容真题卷与模拟卷。</t>
  </si>
  <si>
    <t>重点观察客观 / 主观结构，以及完型、阅读A、阅读B、翻译、小作文、大作文的失分分布。</t>
  </si>
  <si>
    <t>完型失分</t>
  </si>
  <si>
    <t>阅读A失分</t>
  </si>
  <si>
    <t>阅读B失分</t>
  </si>
  <si>
    <t>翻译失分</t>
  </si>
  <si>
    <t>小作文失分</t>
  </si>
  <si>
    <t>大作文失分</t>
  </si>
  <si>
    <t>真题卷</t>
  </si>
  <si>
    <t>模拟卷</t>
  </si>
  <si>
    <t>数学一套卷成绩追踪</t>
  </si>
  <si>
    <t>记录对象：数学一整套卷，兼容真题卷与模拟卷。</t>
  </si>
  <si>
    <t>重点观察总分波动、失误失分、不会做失分，以及高数 / 线代 / 概率论三个模块的拖分情况。</t>
  </si>
  <si>
    <t>创新概念题失分</t>
  </si>
  <si>
    <t>难题失分</t>
  </si>
  <si>
    <t>选择失分</t>
  </si>
  <si>
    <t>填空失分</t>
  </si>
  <si>
    <t>大题失分</t>
  </si>
  <si>
    <t>高数失分</t>
  </si>
  <si>
    <t>线代失分</t>
  </si>
  <si>
    <t>概率论失分</t>
  </si>
  <si>
    <t/>
  </si>
  <si>
    <t>套卷成绩分析工作簿说明</t>
  </si>
  <si>
    <t>这份工作簿用于记录每次做完套卷后的成绩、失分结构与状态变化。</t>
  </si>
  <si>
    <t>填写方式：直接在各科工作表第 6 行到第 105 行录入数据；底部 3 行会自动统计真题卷 / 模拟卷 / 总平均。</t>
  </si>
  <si>
    <t>卷子类型统一填写：真题卷 或 模拟卷；难度建议统一填写：简单 / 中等 / 偏难 / 很难。</t>
  </si>
  <si>
    <t>英语失分分类已按你的补充设置为：客观、主观、完型、阅读A、阅读B、翻译、小作文、大作文。</t>
  </si>
  <si>
    <t>408 失分分类已按你的补充设置为：客观、主观、编程、数据结构、计算机组成原理、计算机网络、操作系统。</t>
  </si>
  <si>
    <t>建议使用方法</t>
  </si>
  <si>
    <t>1. 每做完一套卷，当天录入分数、耗时、心态与失分来源。</t>
  </si>
  <si>
    <t>2. 每周看一次统计区，判断是“不会做”偏多，还是“失误”偏多。</t>
  </si>
  <si>
    <t>3. 数学重点看高数 / 线代 / 概率论哪一块长期拖分。</t>
  </si>
  <si>
    <t>4. 408 重点看客观 / 主观 / 编程和四门课模块，到底是谁在拉低总分。</t>
  </si>
  <si>
    <t>5. 英语重点看阅读A、阅读B、翻译与大小作文，政治后期重点看选择与分析题。</t>
  </si>
  <si>
    <t>选择题失分</t>
    <phoneticPr fontId="7" type="noConversion"/>
  </si>
  <si>
    <t>大题失分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</si>
</sst>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微软雅黑"/>
      <family val="2"/>
    </font>
    <font>
      <sz val="11"/>
      <color theme="1"/>
      <name val="宋体"/>
      <family val="2"/>
    </font>
    <font>
      <b/>
      <sz val="11"/>
      <color theme="1"/>
      <name val="微软雅黑"/>
      <family val="2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EEF3F8"/>
      </patternFill>
    </fill>
    <fill>
      <patternFill patternType="solid">
        <fgColor rgb="FFB4C6E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0" fillId="0" borderId="0" xfId="0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3" fillId="3" borderId="1" xfId="0" applyFont="1" applyFill="1" applyBorder="1" applyAlignment="1">
      <alignment horizontal="center"/>
    </xf>
    <xf numFmtId="4" fontId="3" fillId="3" borderId="1" xfId="0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3" fillId="4" borderId="1" xfId="0" applyNumberFormat="1" applyFont="1" applyFill="1" applyBorder="1" applyAlignment="1">
      <alignment horizontal="center" wrapText="1"/>
    </xf>
    <xf numFmtId="3" fontId="3" fillId="4" borderId="1" xfId="0" applyNumberFormat="1" applyFont="1" applyFill="1" applyBorder="1" applyAlignment="1">
      <alignment horizontal="center" wrapText="1"/>
    </xf>
    <xf numFmtId="3" fontId="2" fillId="0" borderId="1" xfId="0" applyNumberFormat="1" applyFont="1" applyBorder="1" applyAlignment="1">
      <alignment horizontal="right" wrapText="1"/>
    </xf>
    <xf numFmtId="0" fontId="5" fillId="0" borderId="1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 wrapText="1"/>
    </xf>
    <xf numFmtId="0" fontId="6" fillId="3" borderId="1" xfId="0" applyFont="1" applyFill="1" applyBorder="1" applyAlignment="1">
      <alignment horizontal="center"/>
    </xf>
    <xf numFmtId="0" fontId="2" fillId="0" borderId="1" xfId="0" quotePrefix="1" applyFont="1" applyBorder="1" applyAlignment="1">
      <alignment horizontal="left" wrapText="1"/>
    </xf>
    <xf numFmtId="0" fontId="3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 wrapText="1"/>
    </xf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</cellXfs>
  <cellStyles count="1">
    <cellStyle name="常规" xfId="0" builtinId="0"/>
  </cellStyles>
  <dxfs count="124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12"/>
  <sheetViews>
    <sheetView workbookViewId="0"/>
  </sheetViews>
  <sheetFormatPr defaultRowHeight="14" x14ac:dyDescent="0.25"/>
  <cols>
    <col min="1" max="1" width="90" bestFit="1" customWidth="1"/>
  </cols>
  <sheetData>
    <row r="1" spans="1:1" ht="26.25" customHeight="1" x14ac:dyDescent="0.45">
      <c r="A1" s="1" t="s">
        <v>55</v>
      </c>
    </row>
    <row r="2" spans="1:1" s="3" customFormat="1" ht="20.25" customHeight="1" x14ac:dyDescent="0.35">
      <c r="A2" s="4" t="s">
        <v>56</v>
      </c>
    </row>
    <row r="3" spans="1:1" s="3" customFormat="1" ht="20.25" customHeight="1" x14ac:dyDescent="0.35">
      <c r="A3" s="4" t="s">
        <v>57</v>
      </c>
    </row>
    <row r="4" spans="1:1" s="3" customFormat="1" ht="20.25" customHeight="1" x14ac:dyDescent="0.35">
      <c r="A4" s="4" t="s">
        <v>58</v>
      </c>
    </row>
    <row r="5" spans="1:1" s="3" customFormat="1" ht="20.25" customHeight="1" x14ac:dyDescent="0.35">
      <c r="A5" s="4" t="s">
        <v>59</v>
      </c>
    </row>
    <row r="6" spans="1:1" s="3" customFormat="1" ht="34.5" customHeight="1" x14ac:dyDescent="0.35">
      <c r="A6" s="4" t="s">
        <v>60</v>
      </c>
    </row>
    <row r="7" spans="1:1" ht="21.75" customHeight="1" x14ac:dyDescent="0.35">
      <c r="A7" s="23" t="s">
        <v>61</v>
      </c>
    </row>
    <row r="8" spans="1:1" s="3" customFormat="1" ht="20.25" customHeight="1" x14ac:dyDescent="0.35">
      <c r="A8" s="7" t="s">
        <v>62</v>
      </c>
    </row>
    <row r="9" spans="1:1" s="3" customFormat="1" ht="20.25" customHeight="1" x14ac:dyDescent="0.35">
      <c r="A9" s="7" t="s">
        <v>63</v>
      </c>
    </row>
    <row r="10" spans="1:1" s="3" customFormat="1" ht="20.25" customHeight="1" x14ac:dyDescent="0.35">
      <c r="A10" s="7" t="s">
        <v>64</v>
      </c>
    </row>
    <row r="11" spans="1:1" s="3" customFormat="1" ht="20.25" customHeight="1" x14ac:dyDescent="0.35">
      <c r="A11" s="7" t="s">
        <v>65</v>
      </c>
    </row>
    <row r="12" spans="1:1" s="3" customFormat="1" ht="21" customHeight="1" x14ac:dyDescent="0.35">
      <c r="A12" s="7" t="s">
        <v>66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109"/>
  <sheetViews>
    <sheetView tabSelected="1" workbookViewId="0">
      <pane ySplit="1" topLeftCell="A19" activePane="bottomLeft" state="frozen"/>
      <selection pane="bottomLeft" activeCell="C9" sqref="C9"/>
    </sheetView>
  </sheetViews>
  <sheetFormatPr defaultRowHeight="14" x14ac:dyDescent="0.25"/>
  <cols>
    <col min="1" max="1" width="12" style="2" bestFit="1" customWidth="1"/>
    <col min="2" max="2" width="20" style="2" bestFit="1" customWidth="1"/>
    <col min="3" max="3" width="11" style="2" bestFit="1" customWidth="1"/>
    <col min="4" max="6" width="12" style="2" bestFit="1" customWidth="1"/>
    <col min="7" max="7" width="20" style="2" bestFit="1" customWidth="1"/>
    <col min="8" max="17" width="11" style="2" bestFit="1" customWidth="1"/>
    <col min="18" max="19" width="20" style="2" bestFit="1" customWidth="1"/>
  </cols>
  <sheetData>
    <row r="1" spans="1:19" ht="18.75" customHeight="1" x14ac:dyDescent="0.45">
      <c r="A1" s="24" t="s">
        <v>43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19" s="3" customFormat="1" ht="18.75" customHeight="1" x14ac:dyDescent="0.35">
      <c r="A2" s="26" t="s">
        <v>44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3" spans="1:19" s="3" customFormat="1" ht="18.75" customHeight="1" x14ac:dyDescent="0.35">
      <c r="A3" s="26" t="s">
        <v>45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19" s="3" customFormat="1" ht="18.75" customHeight="1" x14ac:dyDescent="0.35">
      <c r="A4" s="26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</row>
    <row r="5" spans="1:19" s="3" customFormat="1" ht="18.75" customHeight="1" x14ac:dyDescent="0.35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46</v>
      </c>
      <c r="K5" s="6" t="s">
        <v>47</v>
      </c>
      <c r="L5" s="6" t="s">
        <v>48</v>
      </c>
      <c r="M5" s="6" t="s">
        <v>49</v>
      </c>
      <c r="N5" s="6" t="s">
        <v>50</v>
      </c>
      <c r="O5" s="6" t="s">
        <v>51</v>
      </c>
      <c r="P5" s="6" t="s">
        <v>52</v>
      </c>
      <c r="Q5" s="6" t="s">
        <v>53</v>
      </c>
      <c r="R5" s="6" t="s">
        <v>16</v>
      </c>
      <c r="S5" s="6" t="s">
        <v>17</v>
      </c>
    </row>
    <row r="6" spans="1:19" s="3" customFormat="1" ht="18.75" customHeight="1" x14ac:dyDescent="0.35">
      <c r="A6" s="7" t="s">
        <v>42</v>
      </c>
      <c r="B6" s="7"/>
      <c r="C6" s="20"/>
      <c r="D6" s="22" t="s">
        <v>54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3" customFormat="1" ht="18.75" customHeight="1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s="3" customFormat="1" ht="18.75" customHeight="1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s="3" customFormat="1" ht="18.75" customHeight="1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s="3" customFormat="1" ht="18.75" customHeight="1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s="3" customFormat="1" ht="18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s="3" customFormat="1" ht="18.75" customHeight="1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3" customFormat="1" ht="18.75" customHeight="1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s="3" customFormat="1" ht="18.75" customHeight="1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s="3" customFormat="1" ht="18.75" customHeight="1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3" customFormat="1" ht="18.75" customHeight="1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</row>
    <row r="17" spans="1:19" s="3" customFormat="1" ht="18.75" customHeight="1" x14ac:dyDescent="0.3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</row>
    <row r="18" spans="1:19" s="3" customFormat="1" ht="18.75" customHeight="1" x14ac:dyDescent="0.3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 spans="1:19" s="3" customFormat="1" ht="18.75" customHeight="1" x14ac:dyDescent="0.3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</row>
    <row r="20" spans="1:19" s="3" customFormat="1" ht="18.75" customHeight="1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 spans="1:19" s="3" customFormat="1" ht="18.75" customHeight="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</row>
    <row r="22" spans="1:19" s="3" customFormat="1" ht="18.75" customHeight="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3" customFormat="1" ht="18.75" customHeight="1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3" customFormat="1" ht="18.75" customHeight="1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s="3" customFormat="1" ht="18.75" customHeight="1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s="3" customFormat="1" ht="18.75" customHeight="1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s="3" customFormat="1" ht="18.75" customHeight="1" x14ac:dyDescent="0.3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spans="1:19" s="3" customFormat="1" ht="18.75" customHeight="1" x14ac:dyDescent="0.3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s="3" customFormat="1" ht="18.75" customHeight="1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s="3" customFormat="1" ht="18.75" customHeight="1" x14ac:dyDescent="0.3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s="3" customFormat="1" ht="18.75" customHeight="1" x14ac:dyDescent="0.3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s="3" customFormat="1" ht="18.75" customHeight="1" x14ac:dyDescent="0.3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s="3" customFormat="1" ht="18.75" customHeight="1" x14ac:dyDescent="0.3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s="3" customFormat="1" ht="18.75" customHeight="1" x14ac:dyDescent="0.3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s="3" customFormat="1" ht="18.75" customHeight="1" x14ac:dyDescent="0.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s="3" customFormat="1" ht="18.75" customHeight="1" x14ac:dyDescent="0.3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s="3" customFormat="1" ht="18.75" customHeight="1" x14ac:dyDescent="0.3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s="3" customFormat="1" ht="18.75" customHeight="1" x14ac:dyDescent="0.3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s="3" customFormat="1" ht="18.75" customHeight="1" x14ac:dyDescent="0.3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s="3" customFormat="1" ht="18.75" customHeight="1" x14ac:dyDescent="0.3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s="3" customFormat="1" ht="18.75" customHeight="1" x14ac:dyDescent="0.3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</row>
    <row r="42" spans="1:19" s="3" customFormat="1" ht="18.75" customHeight="1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s="3" customFormat="1" ht="18.75" customHeight="1" x14ac:dyDescent="0.3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s="3" customFormat="1" ht="18.75" customHeight="1" x14ac:dyDescent="0.3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s="3" customFormat="1" ht="18.75" customHeight="1" x14ac:dyDescent="0.3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3" customFormat="1" ht="18.75" customHeight="1" x14ac:dyDescent="0.3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s="3" customFormat="1" ht="18.75" customHeight="1" x14ac:dyDescent="0.3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s="3" customFormat="1" ht="18.75" customHeight="1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s="3" customFormat="1" ht="18.75" customHeight="1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s="3" customFormat="1" ht="18.75" customHeight="1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3" customFormat="1" ht="18.75" customHeight="1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s="3" customFormat="1" ht="18.75" customHeight="1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s="3" customFormat="1" ht="18.75" customHeight="1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s="3" customFormat="1" ht="18.75" customHeight="1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s="3" customFormat="1" ht="18.75" customHeight="1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s="3" customFormat="1" ht="18.75" customHeight="1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s="3" customFormat="1" ht="18.75" customHeight="1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s="3" customFormat="1" ht="18.75" customHeight="1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s="3" customFormat="1" ht="18.75" customHeight="1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s="3" customFormat="1" ht="18.75" customHeight="1" x14ac:dyDescent="0.3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s="3" customFormat="1" ht="18.75" customHeight="1" x14ac:dyDescent="0.3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3" customFormat="1" ht="18.75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s="3" customFormat="1" ht="18.75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s="3" customFormat="1" ht="18.75" customHeight="1" x14ac:dyDescent="0.3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s="3" customFormat="1" ht="18.75" customHeight="1" x14ac:dyDescent="0.3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s="3" customFormat="1" ht="18.75" customHeight="1" x14ac:dyDescent="0.3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s="3" customFormat="1" ht="18.75" customHeight="1" x14ac:dyDescent="0.3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s="3" customFormat="1" ht="18.75" customHeight="1" x14ac:dyDescent="0.3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s="3" customFormat="1" ht="18.75" customHeight="1" x14ac:dyDescent="0.3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s="3" customFormat="1" ht="18.75" customHeight="1" x14ac:dyDescent="0.3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s="3" customFormat="1" ht="18.75" customHeight="1" x14ac:dyDescent="0.3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s="3" customFormat="1" ht="18.75" customHeight="1" x14ac:dyDescent="0.3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s="3" customFormat="1" ht="18.75" customHeight="1" x14ac:dyDescent="0.3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s="3" customFormat="1" ht="18.75" customHeight="1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s="3" customFormat="1" ht="18.75" customHeight="1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s="3" customFormat="1" ht="18.75" customHeight="1" x14ac:dyDescent="0.3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3" customFormat="1" ht="18.75" customHeight="1" x14ac:dyDescent="0.3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s="3" customFormat="1" ht="18.75" customHeight="1" x14ac:dyDescent="0.3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s="3" customFormat="1" ht="18.75" customHeight="1" x14ac:dyDescent="0.3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s="3" customFormat="1" ht="18.75" customHeight="1" x14ac:dyDescent="0.3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s="3" customFormat="1" ht="18.75" customHeight="1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s="3" customFormat="1" ht="18.75" customHeight="1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s="3" customFormat="1" ht="18.75" customHeight="1" x14ac:dyDescent="0.3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s="3" customFormat="1" ht="18.75" customHeight="1" x14ac:dyDescent="0.3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s="3" customFormat="1" ht="18.75" customHeight="1" x14ac:dyDescent="0.3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s="3" customFormat="1" ht="18.75" customHeight="1" x14ac:dyDescent="0.3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s="3" customFormat="1" ht="18.75" customHeight="1" x14ac:dyDescent="0.3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s="3" customFormat="1" ht="18.75" customHeight="1" x14ac:dyDescent="0.3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s="3" customFormat="1" ht="18.75" customHeight="1" x14ac:dyDescent="0.3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s="3" customFormat="1" ht="18.75" customHeight="1" x14ac:dyDescent="0.3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s="3" customFormat="1" ht="18.75" customHeight="1" x14ac:dyDescent="0.3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s="3" customFormat="1" ht="18.75" customHeight="1" x14ac:dyDescent="0.3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s="3" customFormat="1" ht="18.75" customHeight="1" x14ac:dyDescent="0.3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s="3" customFormat="1" ht="18.75" customHeight="1" x14ac:dyDescent="0.3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s="3" customFormat="1" ht="18.75" customHeight="1" x14ac:dyDescent="0.3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s="3" customFormat="1" ht="18.75" customHeight="1" x14ac:dyDescent="0.3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s="3" customFormat="1" ht="18.75" customHeight="1" x14ac:dyDescent="0.3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s="3" customFormat="1" ht="18.75" customHeight="1" x14ac:dyDescent="0.3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s="3" customFormat="1" ht="18.75" customHeight="1" x14ac:dyDescent="0.3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s="3" customFormat="1" ht="18.75" customHeight="1" x14ac:dyDescent="0.3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s="3" customFormat="1" ht="18.75" customHeight="1" x14ac:dyDescent="0.3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s="3" customFormat="1" ht="18.75" customHeight="1" x14ac:dyDescent="0.3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s="3" customFormat="1" ht="18.75" customHeight="1" x14ac:dyDescent="0.3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s="3" customFormat="1" ht="18.75" customHeight="1" x14ac:dyDescent="0.3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s="3" customFormat="1" ht="18.75" customHeight="1" x14ac:dyDescent="0.3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s="3" customFormat="1" ht="18.75" customHeight="1" x14ac:dyDescent="0.45">
      <c r="A106" s="28" t="s">
        <v>18</v>
      </c>
      <c r="B106" s="28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1:19" ht="18.75" customHeight="1" x14ac:dyDescent="0.35">
      <c r="A107" s="9" t="s">
        <v>19</v>
      </c>
      <c r="B107" s="10"/>
      <c r="C107" s="10" t="str">
        <f>IFERROR(AVERAGEIF($A$6:$A$105,"真题卷",$C$6:$C$105),"")</f>
        <v/>
      </c>
      <c r="D107" s="10"/>
      <c r="E107" s="10"/>
      <c r="F107" s="10"/>
      <c r="G107" s="10"/>
      <c r="H107" s="10" t="str">
        <f>IFERROR(AVERAGEIF($A$6:$A$105,"真题卷",$H$6:$H$105),"")</f>
        <v/>
      </c>
      <c r="I107" s="10" t="str">
        <f>IFERROR(AVERAGEIF($A$6:$A$105,"真题卷",$I$6:$I$105),"")</f>
        <v/>
      </c>
      <c r="J107" s="10" t="str">
        <f>IFERROR(AVERAGEIF($A$6:$A$105,"真题卷",$J$6:$J$105),"")</f>
        <v/>
      </c>
      <c r="K107" s="10" t="str">
        <f>IFERROR(AVERAGEIF($A$6:$A$105,"真题卷",$K$6:$K$105),"")</f>
        <v/>
      </c>
      <c r="L107" s="10" t="str">
        <f>IFERROR(AVERAGEIF($A$6:$A$105,"真题卷",$L$6:$L$105),"")</f>
        <v/>
      </c>
      <c r="M107" s="10" t="str">
        <f>IFERROR(AVERAGEIF($A$6:$A$105,"真题卷",$M$6:$M$105),"")</f>
        <v/>
      </c>
      <c r="N107" s="10" t="str">
        <f>IFERROR(AVERAGEIF($A$6:$A$105,"真题卷",$N$6:$N$105),"")</f>
        <v/>
      </c>
      <c r="O107" s="10" t="str">
        <f>IFERROR(AVERAGEIF($A$6:$A$105,"真题卷",$O$6:$O$105),"")</f>
        <v/>
      </c>
      <c r="P107" s="10" t="str">
        <f>IFERROR(AVERAGEIF($A$6:$A$105,"真题卷",$P$6:$P$105),"")</f>
        <v/>
      </c>
      <c r="Q107" s="10" t="str">
        <f>IFERROR(AVERAGEIF($A$6:$A$105,"真题卷",$Q$6:$Q$105),"")</f>
        <v/>
      </c>
      <c r="R107" s="10"/>
      <c r="S107" s="10"/>
    </row>
    <row r="108" spans="1:19" ht="18.75" customHeight="1" x14ac:dyDescent="0.35">
      <c r="A108" s="9" t="s">
        <v>20</v>
      </c>
      <c r="B108" s="10"/>
      <c r="C108" s="10" t="str">
        <f>IFERROR(AVERAGEIF($A$6:$A$105,"模拟卷",$C$6:$C$105),"")</f>
        <v/>
      </c>
      <c r="D108" s="10"/>
      <c r="E108" s="10"/>
      <c r="F108" s="10"/>
      <c r="G108" s="10"/>
      <c r="H108" s="10" t="str">
        <f>IFERROR(AVERAGEIF($A$6:$A$105,"模拟卷",$H$6:$H$105),"")</f>
        <v/>
      </c>
      <c r="I108" s="10" t="str">
        <f>IFERROR(AVERAGEIF($A$6:$A$105,"模拟卷",$I$6:$I$105),"")</f>
        <v/>
      </c>
      <c r="J108" s="10" t="str">
        <f>IFERROR(AVERAGEIF($A$6:$A$105,"模拟卷",$J$6:$J$105),"")</f>
        <v/>
      </c>
      <c r="K108" s="10" t="str">
        <f>IFERROR(AVERAGEIF($A$6:$A$105,"模拟卷",$K$6:$K$105),"")</f>
        <v/>
      </c>
      <c r="L108" s="10" t="str">
        <f>IFERROR(AVERAGEIF($A$6:$A$105,"模拟卷",$L$6:$L$105),"")</f>
        <v/>
      </c>
      <c r="M108" s="10" t="str">
        <f>IFERROR(AVERAGEIF($A$6:$A$105,"模拟卷",$M$6:$M$105),"")</f>
        <v/>
      </c>
      <c r="N108" s="10" t="str">
        <f>IFERROR(AVERAGEIF($A$6:$A$105,"模拟卷",$N$6:$N$105),"")</f>
        <v/>
      </c>
      <c r="O108" s="10" t="str">
        <f>IFERROR(AVERAGEIF($A$6:$A$105,"模拟卷",$O$6:$O$105),"")</f>
        <v/>
      </c>
      <c r="P108" s="10" t="str">
        <f>IFERROR(AVERAGEIF($A$6:$A$105,"模拟卷",$P$6:$P$105),"")</f>
        <v/>
      </c>
      <c r="Q108" s="10" t="str">
        <f>IFERROR(AVERAGEIF($A$6:$A$105,"模拟卷",$Q$6:$Q$105),"")</f>
        <v/>
      </c>
      <c r="R108" s="10"/>
      <c r="S108" s="10"/>
    </row>
    <row r="109" spans="1:19" ht="18.75" customHeight="1" x14ac:dyDescent="0.35">
      <c r="A109" s="9" t="s">
        <v>21</v>
      </c>
      <c r="B109" s="10"/>
      <c r="C109" s="10" t="str">
        <f>IFERROR(AVERAGE($C$6:$C$105),"")</f>
        <v/>
      </c>
      <c r="D109" s="10"/>
      <c r="E109" s="10"/>
      <c r="F109" s="10"/>
      <c r="G109" s="10"/>
      <c r="H109" s="10" t="str">
        <f>IFERROR(AVERAGE($H$6:$H$105),"")</f>
        <v/>
      </c>
      <c r="I109" s="10" t="str">
        <f>IFERROR(AVERAGE($I$6:$I$105),"")</f>
        <v/>
      </c>
      <c r="J109" s="10" t="str">
        <f>IFERROR(AVERAGE($J$6:$J$105),"")</f>
        <v/>
      </c>
      <c r="K109" s="10" t="str">
        <f>IFERROR(AVERAGE($K$6:$K$105),"")</f>
        <v/>
      </c>
      <c r="L109" s="10" t="str">
        <f>IFERROR(AVERAGE($L$6:$L$105),"")</f>
        <v/>
      </c>
      <c r="M109" s="10" t="str">
        <f>IFERROR(AVERAGE($M$6:$M$105),"")</f>
        <v/>
      </c>
      <c r="N109" s="10" t="str">
        <f>IFERROR(AVERAGE($N$6:$N$105),"")</f>
        <v/>
      </c>
      <c r="O109" s="10" t="str">
        <f>IFERROR(AVERAGE($O$6:$O$105),"")</f>
        <v/>
      </c>
      <c r="P109" s="10" t="str">
        <f>IFERROR(AVERAGE($P$6:$P$105),"")</f>
        <v/>
      </c>
      <c r="Q109" s="10" t="str">
        <f>IFERROR(AVERAGE($Q$6:$Q$105),"")</f>
        <v/>
      </c>
      <c r="R109" s="10"/>
      <c r="S109" s="10"/>
    </row>
  </sheetData>
  <mergeCells count="5">
    <mergeCell ref="A1:S1"/>
    <mergeCell ref="A2:S2"/>
    <mergeCell ref="A3:S3"/>
    <mergeCell ref="A4:S4"/>
    <mergeCell ref="A106:B106"/>
  </mergeCells>
  <phoneticPr fontId="7" type="noConversion"/>
  <conditionalFormatting sqref="C6:C105">
    <cfRule type="expression" dxfId="123" priority="47" stopIfTrue="1">
      <formula>AND(ISNUMBER(C6),C6&gt;=145)</formula>
    </cfRule>
    <cfRule type="expression" dxfId="122" priority="48" stopIfTrue="1">
      <formula>AND(ISNUMBER(C6),C6&gt;=130,C6&lt;145)</formula>
    </cfRule>
    <cfRule type="expression" dxfId="121" priority="49" stopIfTrue="1">
      <formula>AND(ISNUMBER(C6),C6&lt;130)</formula>
    </cfRule>
  </conditionalFormatting>
  <conditionalFormatting sqref="D6:D105">
    <cfRule type="expression" dxfId="120" priority="4" stopIfTrue="1">
      <formula>OR(AND(ISNUMBER(D6),D6=1),D6="简单",D6="好",D6="稳定",D6="轻松")</formula>
    </cfRule>
    <cfRule type="expression" dxfId="119" priority="5" stopIfTrue="1">
      <formula>OR(AND(ISNUMBER(D6),D6&gt;=2,D6&lt;=3),D6="中等",D6="正常",D6="一般")</formula>
    </cfRule>
    <cfRule type="expression" dxfId="118" priority="6" stopIfTrue="1">
      <formula>OR(AND(ISNUMBER(D6),D6&gt;=4),D6="偏难",D6="很难",D6="差",D6="崩",D6="紧张",D6="疲惫")</formula>
    </cfRule>
  </conditionalFormatting>
  <conditionalFormatting sqref="F6:F105">
    <cfRule type="expression" dxfId="117" priority="44" stopIfTrue="1">
      <formula>AND(ISNUMBER(F6),F6&lt;=120)</formula>
    </cfRule>
    <cfRule type="expression" dxfId="116" priority="45" stopIfTrue="1">
      <formula>AND(ISNUMBER(F6),F6&gt;120,F6&lt;=150)</formula>
    </cfRule>
    <cfRule type="expression" dxfId="115" priority="46" stopIfTrue="1">
      <formula>AND(ISNUMBER(F6),F6&gt;150)</formula>
    </cfRule>
  </conditionalFormatting>
  <conditionalFormatting sqref="G6:G105">
    <cfRule type="expression" dxfId="114" priority="1" stopIfTrue="1">
      <formula>OR(AND(ISNUMBER(G6),G6=1),G6="简单",G6="好",G6="稳定",G6="轻松")</formula>
    </cfRule>
    <cfRule type="expression" dxfId="113" priority="2" stopIfTrue="1">
      <formula>OR(AND(ISNUMBER(G6),G6&gt;=2,G6&lt;=3),G6="中等",G6="正常",G6="一般")</formula>
    </cfRule>
    <cfRule type="expression" dxfId="112" priority="3" stopIfTrue="1">
      <formula>OR(AND(ISNUMBER(G6),G6&gt;=4),G6="偏难",G6="很难",G6="差",G6="崩",G6="紧张",G6="疲惫")</formula>
    </cfRule>
  </conditionalFormatting>
  <conditionalFormatting sqref="H6:K105">
    <cfRule type="expression" dxfId="111" priority="18" stopIfTrue="1">
      <formula>AND(ISNUMBER(H6),H6&gt;0,H6&lt;8)</formula>
    </cfRule>
    <cfRule type="expression" dxfId="110" priority="19" stopIfTrue="1">
      <formula>AND(ISNUMBER(H6),H6&gt;=8)</formula>
    </cfRule>
  </conditionalFormatting>
  <conditionalFormatting sqref="H6:Q105">
    <cfRule type="expression" dxfId="109" priority="8" stopIfTrue="1">
      <formula>AND(ISNUMBER(H6),H6=0)</formula>
    </cfRule>
  </conditionalFormatting>
  <conditionalFormatting sqref="L6:O105">
    <cfRule type="expression" dxfId="108" priority="12" stopIfTrue="1">
      <formula>AND(ISNUMBER(L6),L6&gt;0,L6&lt;10)</formula>
    </cfRule>
    <cfRule type="expression" dxfId="107" priority="13" stopIfTrue="1">
      <formula>AND(ISNUMBER(L6),L6&gt;=10)</formula>
    </cfRule>
  </conditionalFormatting>
  <conditionalFormatting sqref="P6:P105">
    <cfRule type="expression" dxfId="106" priority="9" stopIfTrue="1">
      <formula>AND(ISNUMBER(P6),P6&gt;0,P6&lt;7)</formula>
    </cfRule>
    <cfRule type="expression" dxfId="105" priority="10" stopIfTrue="1">
      <formula>AND(ISNUMBER(P6),P6&gt;=7)</formula>
    </cfRule>
  </conditionalFormatting>
  <conditionalFormatting sqref="Q6:Q105">
    <cfRule type="expression" dxfId="104" priority="33" stopIfTrue="1">
      <formula>AND(ISNUMBER(Q6),Q6&gt;0,Q6&lt;6)</formula>
    </cfRule>
    <cfRule type="expression" dxfId="103" priority="34" stopIfTrue="1">
      <formula>AND(ISNUMBER(Q6),Q6&gt;=6)</formula>
    </cfRule>
  </conditionalFormatting>
  <conditionalFormatting sqref="R6:R105">
    <cfRule type="expression" dxfId="102" priority="7" stopIfTrue="1">
      <formula>LEN(TRIM(R6&amp;""))&gt;0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S109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style="2" bestFit="1" customWidth="1"/>
    <col min="2" max="2" width="20" style="2" bestFit="1" customWidth="1"/>
    <col min="3" max="3" width="11" style="11" bestFit="1" customWidth="1"/>
    <col min="4" max="5" width="12" style="2" bestFit="1" customWidth="1"/>
    <col min="6" max="6" width="12" style="12" bestFit="1" customWidth="1"/>
    <col min="7" max="7" width="20" style="2" bestFit="1" customWidth="1"/>
    <col min="8" max="17" width="11" style="2" bestFit="1" customWidth="1"/>
    <col min="18" max="19" width="20" style="2" bestFit="1" customWidth="1"/>
  </cols>
  <sheetData>
    <row r="1" spans="1:19" ht="18.75" customHeight="1" x14ac:dyDescent="0.45">
      <c r="A1" s="24" t="s">
        <v>32</v>
      </c>
      <c r="B1" s="25"/>
      <c r="C1" s="29"/>
      <c r="D1" s="25"/>
      <c r="E1" s="25"/>
      <c r="F1" s="30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19" s="3" customFormat="1" ht="18.75" customHeight="1" x14ac:dyDescent="0.35">
      <c r="A2" s="26" t="s">
        <v>33</v>
      </c>
      <c r="B2" s="27"/>
      <c r="C2" s="31"/>
      <c r="D2" s="27"/>
      <c r="E2" s="27"/>
      <c r="F2" s="32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3" spans="1:19" s="3" customFormat="1" ht="18.75" customHeight="1" x14ac:dyDescent="0.35">
      <c r="A3" s="26" t="s">
        <v>34</v>
      </c>
      <c r="B3" s="27"/>
      <c r="C3" s="31"/>
      <c r="D3" s="27"/>
      <c r="E3" s="27"/>
      <c r="F3" s="32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19" s="3" customFormat="1" ht="18.75" customHeight="1" x14ac:dyDescent="0.35">
      <c r="A4" s="26" t="s">
        <v>3</v>
      </c>
      <c r="B4" s="27"/>
      <c r="C4" s="31"/>
      <c r="D4" s="27"/>
      <c r="E4" s="27"/>
      <c r="F4" s="32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</row>
    <row r="5" spans="1:19" s="3" customFormat="1" ht="18.75" customHeight="1" x14ac:dyDescent="0.35">
      <c r="A5" s="6" t="s">
        <v>4</v>
      </c>
      <c r="B5" s="6" t="s">
        <v>5</v>
      </c>
      <c r="C5" s="15" t="s">
        <v>6</v>
      </c>
      <c r="D5" s="6" t="s">
        <v>7</v>
      </c>
      <c r="E5" s="6" t="s">
        <v>8</v>
      </c>
      <c r="F5" s="16" t="s">
        <v>9</v>
      </c>
      <c r="G5" s="6" t="s">
        <v>10</v>
      </c>
      <c r="H5" s="6" t="s">
        <v>11</v>
      </c>
      <c r="I5" s="6" t="s">
        <v>12</v>
      </c>
      <c r="J5" s="6" t="s">
        <v>25</v>
      </c>
      <c r="K5" s="6" t="s">
        <v>26</v>
      </c>
      <c r="L5" s="6" t="s">
        <v>35</v>
      </c>
      <c r="M5" s="6" t="s">
        <v>36</v>
      </c>
      <c r="N5" s="6" t="s">
        <v>37</v>
      </c>
      <c r="O5" s="6" t="s">
        <v>38</v>
      </c>
      <c r="P5" s="6" t="s">
        <v>39</v>
      </c>
      <c r="Q5" s="6" t="s">
        <v>40</v>
      </c>
      <c r="R5" s="6" t="s">
        <v>16</v>
      </c>
      <c r="S5" s="6" t="s">
        <v>17</v>
      </c>
    </row>
    <row r="6" spans="1:19" s="3" customFormat="1" ht="18.75" customHeight="1" x14ac:dyDescent="0.45">
      <c r="A6" s="8" t="s">
        <v>41</v>
      </c>
      <c r="B6" s="7"/>
      <c r="C6" s="17">
        <v>1</v>
      </c>
      <c r="D6" s="7"/>
      <c r="E6" s="7"/>
      <c r="F6" s="17">
        <v>12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3" customFormat="1" ht="18.75" customHeight="1" x14ac:dyDescent="0.35">
      <c r="A7" s="18" t="s">
        <v>42</v>
      </c>
      <c r="B7" s="7"/>
      <c r="C7" s="17">
        <v>2</v>
      </c>
      <c r="D7" s="7"/>
      <c r="E7" s="7"/>
      <c r="F7" s="17">
        <v>123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s="3" customFormat="1" ht="18.75" customHeight="1" x14ac:dyDescent="0.35">
      <c r="A8" s="7"/>
      <c r="B8" s="7"/>
      <c r="C8" s="19"/>
      <c r="D8" s="7"/>
      <c r="E8" s="7"/>
      <c r="F8" s="20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s="3" customFormat="1" ht="18.75" customHeight="1" x14ac:dyDescent="0.35">
      <c r="A9" s="7"/>
      <c r="B9" s="7"/>
      <c r="C9" s="19"/>
      <c r="D9" s="7"/>
      <c r="E9" s="7"/>
      <c r="F9" s="20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s="3" customFormat="1" ht="18.75" customHeight="1" x14ac:dyDescent="0.35">
      <c r="A10" s="7"/>
      <c r="B10" s="7"/>
      <c r="C10" s="19"/>
      <c r="D10" s="7"/>
      <c r="E10" s="7"/>
      <c r="F10" s="20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s="3" customFormat="1" ht="18.75" customHeight="1" x14ac:dyDescent="0.35">
      <c r="A11" s="7"/>
      <c r="B11" s="7"/>
      <c r="C11" s="19"/>
      <c r="D11" s="7"/>
      <c r="E11" s="7"/>
      <c r="F11" s="20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s="3" customFormat="1" ht="18.75" customHeight="1" x14ac:dyDescent="0.35">
      <c r="A12" s="7"/>
      <c r="B12" s="7"/>
      <c r="C12" s="19"/>
      <c r="D12" s="7"/>
      <c r="E12" s="7"/>
      <c r="F12" s="20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3" customFormat="1" ht="18.75" customHeight="1" x14ac:dyDescent="0.35">
      <c r="A13" s="7"/>
      <c r="B13" s="7"/>
      <c r="C13" s="19"/>
      <c r="D13" s="7"/>
      <c r="E13" s="7"/>
      <c r="F13" s="20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s="3" customFormat="1" ht="18.75" customHeight="1" x14ac:dyDescent="0.35">
      <c r="A14" s="7"/>
      <c r="B14" s="7"/>
      <c r="C14" s="19"/>
      <c r="D14" s="7"/>
      <c r="E14" s="7"/>
      <c r="F14" s="20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s="3" customFormat="1" ht="18.75" customHeight="1" x14ac:dyDescent="0.35">
      <c r="A15" s="7"/>
      <c r="B15" s="7"/>
      <c r="C15" s="19"/>
      <c r="D15" s="7"/>
      <c r="E15" s="7"/>
      <c r="F15" s="20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3" customFormat="1" ht="18.75" customHeight="1" x14ac:dyDescent="0.35">
      <c r="A16" s="7"/>
      <c r="B16" s="7"/>
      <c r="C16" s="19"/>
      <c r="D16" s="7"/>
      <c r="E16" s="7"/>
      <c r="F16" s="20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</row>
    <row r="17" spans="1:19" s="3" customFormat="1" ht="18.75" customHeight="1" x14ac:dyDescent="0.35">
      <c r="A17" s="7"/>
      <c r="B17" s="7"/>
      <c r="C17" s="19"/>
      <c r="D17" s="7"/>
      <c r="E17" s="7"/>
      <c r="F17" s="20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</row>
    <row r="18" spans="1:19" s="3" customFormat="1" ht="18.75" customHeight="1" x14ac:dyDescent="0.35">
      <c r="A18" s="7"/>
      <c r="B18" s="7"/>
      <c r="C18" s="19"/>
      <c r="D18" s="7"/>
      <c r="E18" s="7"/>
      <c r="F18" s="20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 spans="1:19" s="3" customFormat="1" ht="18.75" customHeight="1" x14ac:dyDescent="0.35">
      <c r="A19" s="7"/>
      <c r="B19" s="7"/>
      <c r="C19" s="19"/>
      <c r="D19" s="7"/>
      <c r="E19" s="7"/>
      <c r="F19" s="20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</row>
    <row r="20" spans="1:19" s="3" customFormat="1" ht="18.75" customHeight="1" x14ac:dyDescent="0.35">
      <c r="A20" s="7"/>
      <c r="B20" s="7"/>
      <c r="C20" s="19"/>
      <c r="D20" s="7"/>
      <c r="E20" s="7"/>
      <c r="F20" s="20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 spans="1:19" s="3" customFormat="1" ht="18.75" customHeight="1" x14ac:dyDescent="0.35">
      <c r="A21" s="7"/>
      <c r="B21" s="7"/>
      <c r="C21" s="19"/>
      <c r="D21" s="7"/>
      <c r="E21" s="7"/>
      <c r="F21" s="20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</row>
    <row r="22" spans="1:19" s="3" customFormat="1" ht="18.75" customHeight="1" x14ac:dyDescent="0.35">
      <c r="A22" s="7"/>
      <c r="B22" s="7"/>
      <c r="C22" s="19"/>
      <c r="D22" s="7"/>
      <c r="E22" s="7"/>
      <c r="F22" s="2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3" customFormat="1" ht="18.75" customHeight="1" x14ac:dyDescent="0.35">
      <c r="A23" s="7"/>
      <c r="B23" s="7"/>
      <c r="C23" s="19"/>
      <c r="D23" s="7"/>
      <c r="E23" s="7"/>
      <c r="F23" s="2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3" customFormat="1" ht="18.75" customHeight="1" x14ac:dyDescent="0.35">
      <c r="A24" s="7"/>
      <c r="B24" s="7"/>
      <c r="C24" s="19"/>
      <c r="D24" s="7"/>
      <c r="E24" s="7"/>
      <c r="F24" s="2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s="3" customFormat="1" ht="18.75" customHeight="1" x14ac:dyDescent="0.35">
      <c r="A25" s="7"/>
      <c r="B25" s="7"/>
      <c r="C25" s="19"/>
      <c r="D25" s="7"/>
      <c r="E25" s="7"/>
      <c r="F25" s="2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s="3" customFormat="1" ht="18.75" customHeight="1" x14ac:dyDescent="0.35">
      <c r="A26" s="7"/>
      <c r="B26" s="7"/>
      <c r="C26" s="19"/>
      <c r="D26" s="7"/>
      <c r="E26" s="7"/>
      <c r="F26" s="2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s="3" customFormat="1" ht="18.75" customHeight="1" x14ac:dyDescent="0.35">
      <c r="A27" s="7"/>
      <c r="B27" s="7"/>
      <c r="C27" s="19"/>
      <c r="D27" s="7"/>
      <c r="E27" s="7"/>
      <c r="F27" s="2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spans="1:19" s="3" customFormat="1" ht="18.75" customHeight="1" x14ac:dyDescent="0.35">
      <c r="A28" s="7"/>
      <c r="B28" s="7"/>
      <c r="C28" s="19"/>
      <c r="D28" s="7"/>
      <c r="E28" s="7"/>
      <c r="F28" s="2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s="3" customFormat="1" ht="18.75" customHeight="1" x14ac:dyDescent="0.35">
      <c r="A29" s="7"/>
      <c r="B29" s="7"/>
      <c r="C29" s="19"/>
      <c r="D29" s="7"/>
      <c r="E29" s="7"/>
      <c r="F29" s="2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s="3" customFormat="1" ht="18.75" customHeight="1" x14ac:dyDescent="0.35">
      <c r="A30" s="7"/>
      <c r="B30" s="7"/>
      <c r="C30" s="19"/>
      <c r="D30" s="7"/>
      <c r="E30" s="7"/>
      <c r="F30" s="2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s="3" customFormat="1" ht="18.75" customHeight="1" x14ac:dyDescent="0.35">
      <c r="A31" s="7"/>
      <c r="B31" s="7"/>
      <c r="C31" s="19"/>
      <c r="D31" s="7"/>
      <c r="E31" s="7"/>
      <c r="F31" s="2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s="3" customFormat="1" ht="18.75" customHeight="1" x14ac:dyDescent="0.35">
      <c r="A32" s="7"/>
      <c r="B32" s="7"/>
      <c r="C32" s="19"/>
      <c r="D32" s="7"/>
      <c r="E32" s="7"/>
      <c r="F32" s="2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s="3" customFormat="1" ht="18.75" customHeight="1" x14ac:dyDescent="0.35">
      <c r="A33" s="7"/>
      <c r="B33" s="7"/>
      <c r="C33" s="19"/>
      <c r="D33" s="7"/>
      <c r="E33" s="7"/>
      <c r="F33" s="2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s="3" customFormat="1" ht="18.75" customHeight="1" x14ac:dyDescent="0.35">
      <c r="A34" s="7"/>
      <c r="B34" s="7"/>
      <c r="C34" s="19"/>
      <c r="D34" s="7"/>
      <c r="E34" s="7"/>
      <c r="F34" s="2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s="3" customFormat="1" ht="18.75" customHeight="1" x14ac:dyDescent="0.35">
      <c r="A35" s="7"/>
      <c r="B35" s="7"/>
      <c r="C35" s="19"/>
      <c r="D35" s="7"/>
      <c r="E35" s="7"/>
      <c r="F35" s="2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s="3" customFormat="1" ht="18.75" customHeight="1" x14ac:dyDescent="0.35">
      <c r="A36" s="7"/>
      <c r="B36" s="7"/>
      <c r="C36" s="19"/>
      <c r="D36" s="7"/>
      <c r="E36" s="7"/>
      <c r="F36" s="2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s="3" customFormat="1" ht="18.75" customHeight="1" x14ac:dyDescent="0.35">
      <c r="A37" s="7"/>
      <c r="B37" s="7"/>
      <c r="C37" s="19"/>
      <c r="D37" s="7"/>
      <c r="E37" s="7"/>
      <c r="F37" s="2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s="3" customFormat="1" ht="18.75" customHeight="1" x14ac:dyDescent="0.35">
      <c r="A38" s="7"/>
      <c r="B38" s="7"/>
      <c r="C38" s="19"/>
      <c r="D38" s="7"/>
      <c r="E38" s="7"/>
      <c r="F38" s="2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s="3" customFormat="1" ht="18.75" customHeight="1" x14ac:dyDescent="0.35">
      <c r="A39" s="7"/>
      <c r="B39" s="7"/>
      <c r="C39" s="19"/>
      <c r="D39" s="7"/>
      <c r="E39" s="7"/>
      <c r="F39" s="2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s="3" customFormat="1" ht="18.75" customHeight="1" x14ac:dyDescent="0.35">
      <c r="A40" s="7"/>
      <c r="B40" s="7"/>
      <c r="C40" s="19"/>
      <c r="D40" s="7"/>
      <c r="E40" s="7"/>
      <c r="F40" s="2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s="3" customFormat="1" ht="18.75" customHeight="1" x14ac:dyDescent="0.35">
      <c r="A41" s="7"/>
      <c r="B41" s="7"/>
      <c r="C41" s="19"/>
      <c r="D41" s="7"/>
      <c r="E41" s="7"/>
      <c r="F41" s="2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</row>
    <row r="42" spans="1:19" s="3" customFormat="1" ht="18.75" customHeight="1" x14ac:dyDescent="0.35">
      <c r="A42" s="7"/>
      <c r="B42" s="7"/>
      <c r="C42" s="19"/>
      <c r="D42" s="7"/>
      <c r="E42" s="7"/>
      <c r="F42" s="2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s="3" customFormat="1" ht="18.75" customHeight="1" x14ac:dyDescent="0.35">
      <c r="A43" s="7"/>
      <c r="B43" s="7"/>
      <c r="C43" s="19"/>
      <c r="D43" s="7"/>
      <c r="E43" s="7"/>
      <c r="F43" s="2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s="3" customFormat="1" ht="18.75" customHeight="1" x14ac:dyDescent="0.35">
      <c r="A44" s="7"/>
      <c r="B44" s="7"/>
      <c r="C44" s="19"/>
      <c r="D44" s="7"/>
      <c r="E44" s="7"/>
      <c r="F44" s="2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s="3" customFormat="1" ht="18.75" customHeight="1" x14ac:dyDescent="0.35">
      <c r="A45" s="7"/>
      <c r="B45" s="7"/>
      <c r="C45" s="19"/>
      <c r="D45" s="7"/>
      <c r="E45" s="7"/>
      <c r="F45" s="2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3" customFormat="1" ht="18.75" customHeight="1" x14ac:dyDescent="0.35">
      <c r="A46" s="7"/>
      <c r="B46" s="7"/>
      <c r="C46" s="19"/>
      <c r="D46" s="7"/>
      <c r="E46" s="7"/>
      <c r="F46" s="2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s="3" customFormat="1" ht="18.75" customHeight="1" x14ac:dyDescent="0.35">
      <c r="A47" s="7"/>
      <c r="B47" s="7"/>
      <c r="C47" s="19"/>
      <c r="D47" s="7"/>
      <c r="E47" s="7"/>
      <c r="F47" s="2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s="3" customFormat="1" ht="18.75" customHeight="1" x14ac:dyDescent="0.35">
      <c r="A48" s="7"/>
      <c r="B48" s="7"/>
      <c r="C48" s="19"/>
      <c r="D48" s="7"/>
      <c r="E48" s="7"/>
      <c r="F48" s="2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s="3" customFormat="1" ht="18.75" customHeight="1" x14ac:dyDescent="0.35">
      <c r="A49" s="7"/>
      <c r="B49" s="7"/>
      <c r="C49" s="19"/>
      <c r="D49" s="7"/>
      <c r="E49" s="7"/>
      <c r="F49" s="2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s="3" customFormat="1" ht="18.75" customHeight="1" x14ac:dyDescent="0.35">
      <c r="A50" s="7"/>
      <c r="B50" s="7"/>
      <c r="C50" s="19"/>
      <c r="D50" s="7"/>
      <c r="E50" s="7"/>
      <c r="F50" s="2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3" customFormat="1" ht="18.75" customHeight="1" x14ac:dyDescent="0.35">
      <c r="A51" s="7"/>
      <c r="B51" s="7"/>
      <c r="C51" s="19"/>
      <c r="D51" s="7"/>
      <c r="E51" s="7"/>
      <c r="F51" s="2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s="3" customFormat="1" ht="18.75" customHeight="1" x14ac:dyDescent="0.35">
      <c r="A52" s="7"/>
      <c r="B52" s="7"/>
      <c r="C52" s="19"/>
      <c r="D52" s="7"/>
      <c r="E52" s="7"/>
      <c r="F52" s="2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s="3" customFormat="1" ht="18.75" customHeight="1" x14ac:dyDescent="0.35">
      <c r="A53" s="7"/>
      <c r="B53" s="7"/>
      <c r="C53" s="19"/>
      <c r="D53" s="7"/>
      <c r="E53" s="7"/>
      <c r="F53" s="2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s="3" customFormat="1" ht="18.75" customHeight="1" x14ac:dyDescent="0.35">
      <c r="A54" s="7"/>
      <c r="B54" s="7"/>
      <c r="C54" s="19"/>
      <c r="D54" s="7"/>
      <c r="E54" s="7"/>
      <c r="F54" s="2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s="3" customFormat="1" ht="18.75" customHeight="1" x14ac:dyDescent="0.35">
      <c r="A55" s="7"/>
      <c r="B55" s="7"/>
      <c r="C55" s="19"/>
      <c r="D55" s="7"/>
      <c r="E55" s="7"/>
      <c r="F55" s="2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s="3" customFormat="1" ht="18.75" customHeight="1" x14ac:dyDescent="0.35">
      <c r="A56" s="7"/>
      <c r="B56" s="7"/>
      <c r="C56" s="19"/>
      <c r="D56" s="7"/>
      <c r="E56" s="7"/>
      <c r="F56" s="2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s="3" customFormat="1" ht="18.75" customHeight="1" x14ac:dyDescent="0.35">
      <c r="A57" s="7"/>
      <c r="B57" s="7"/>
      <c r="C57" s="19"/>
      <c r="D57" s="7"/>
      <c r="E57" s="7"/>
      <c r="F57" s="2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s="3" customFormat="1" ht="18.75" customHeight="1" x14ac:dyDescent="0.35">
      <c r="A58" s="7"/>
      <c r="B58" s="7"/>
      <c r="C58" s="19"/>
      <c r="D58" s="7"/>
      <c r="E58" s="7"/>
      <c r="F58" s="2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s="3" customFormat="1" ht="18.75" customHeight="1" x14ac:dyDescent="0.35">
      <c r="A59" s="7"/>
      <c r="B59" s="7"/>
      <c r="C59" s="19"/>
      <c r="D59" s="7"/>
      <c r="E59" s="7"/>
      <c r="F59" s="2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s="3" customFormat="1" ht="18.75" customHeight="1" x14ac:dyDescent="0.35">
      <c r="A60" s="7"/>
      <c r="B60" s="7"/>
      <c r="C60" s="19"/>
      <c r="D60" s="7"/>
      <c r="E60" s="7"/>
      <c r="F60" s="2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s="3" customFormat="1" ht="18.75" customHeight="1" x14ac:dyDescent="0.35">
      <c r="A61" s="7"/>
      <c r="B61" s="7"/>
      <c r="C61" s="19"/>
      <c r="D61" s="7"/>
      <c r="E61" s="7"/>
      <c r="F61" s="2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3" customFormat="1" ht="18.75" customHeight="1" x14ac:dyDescent="0.35">
      <c r="A62" s="7"/>
      <c r="B62" s="7"/>
      <c r="C62" s="19"/>
      <c r="D62" s="7"/>
      <c r="E62" s="7"/>
      <c r="F62" s="2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s="3" customFormat="1" ht="18.75" customHeight="1" x14ac:dyDescent="0.35">
      <c r="A63" s="7"/>
      <c r="B63" s="7"/>
      <c r="C63" s="19"/>
      <c r="D63" s="7"/>
      <c r="E63" s="7"/>
      <c r="F63" s="2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s="3" customFormat="1" ht="18.75" customHeight="1" x14ac:dyDescent="0.35">
      <c r="A64" s="7"/>
      <c r="B64" s="7"/>
      <c r="C64" s="19"/>
      <c r="D64" s="7"/>
      <c r="E64" s="7"/>
      <c r="F64" s="2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s="3" customFormat="1" ht="18.75" customHeight="1" x14ac:dyDescent="0.35">
      <c r="A65" s="7"/>
      <c r="B65" s="7"/>
      <c r="C65" s="19"/>
      <c r="D65" s="7"/>
      <c r="E65" s="7"/>
      <c r="F65" s="2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s="3" customFormat="1" ht="18.75" customHeight="1" x14ac:dyDescent="0.35">
      <c r="A66" s="7"/>
      <c r="B66" s="7"/>
      <c r="C66" s="19"/>
      <c r="D66" s="7"/>
      <c r="E66" s="7"/>
      <c r="F66" s="2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s="3" customFormat="1" ht="18.75" customHeight="1" x14ac:dyDescent="0.35">
      <c r="A67" s="7"/>
      <c r="B67" s="7"/>
      <c r="C67" s="19"/>
      <c r="D67" s="7"/>
      <c r="E67" s="7"/>
      <c r="F67" s="2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s="3" customFormat="1" ht="18.75" customHeight="1" x14ac:dyDescent="0.35">
      <c r="A68" s="7"/>
      <c r="B68" s="7"/>
      <c r="C68" s="19"/>
      <c r="D68" s="7"/>
      <c r="E68" s="7"/>
      <c r="F68" s="2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s="3" customFormat="1" ht="18.75" customHeight="1" x14ac:dyDescent="0.35">
      <c r="A69" s="7"/>
      <c r="B69" s="7"/>
      <c r="C69" s="19"/>
      <c r="D69" s="7"/>
      <c r="E69" s="7"/>
      <c r="F69" s="2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s="3" customFormat="1" ht="18.75" customHeight="1" x14ac:dyDescent="0.35">
      <c r="A70" s="7"/>
      <c r="B70" s="7"/>
      <c r="C70" s="19"/>
      <c r="D70" s="7"/>
      <c r="E70" s="7"/>
      <c r="F70" s="2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s="3" customFormat="1" ht="18.75" customHeight="1" x14ac:dyDescent="0.35">
      <c r="A71" s="7"/>
      <c r="B71" s="7"/>
      <c r="C71" s="19"/>
      <c r="D71" s="7"/>
      <c r="E71" s="7"/>
      <c r="F71" s="2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s="3" customFormat="1" ht="18.75" customHeight="1" x14ac:dyDescent="0.35">
      <c r="A72" s="7"/>
      <c r="B72" s="7"/>
      <c r="C72" s="19"/>
      <c r="D72" s="7"/>
      <c r="E72" s="7"/>
      <c r="F72" s="2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s="3" customFormat="1" ht="18.75" customHeight="1" x14ac:dyDescent="0.35">
      <c r="A73" s="7"/>
      <c r="B73" s="7"/>
      <c r="C73" s="19"/>
      <c r="D73" s="7"/>
      <c r="E73" s="7"/>
      <c r="F73" s="2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s="3" customFormat="1" ht="18.75" customHeight="1" x14ac:dyDescent="0.35">
      <c r="A74" s="7"/>
      <c r="B74" s="7"/>
      <c r="C74" s="19"/>
      <c r="D74" s="7"/>
      <c r="E74" s="7"/>
      <c r="F74" s="2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s="3" customFormat="1" ht="18.75" customHeight="1" x14ac:dyDescent="0.35">
      <c r="A75" s="7"/>
      <c r="B75" s="7"/>
      <c r="C75" s="19"/>
      <c r="D75" s="7"/>
      <c r="E75" s="7"/>
      <c r="F75" s="2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s="3" customFormat="1" ht="18.75" customHeight="1" x14ac:dyDescent="0.35">
      <c r="A76" s="7"/>
      <c r="B76" s="7"/>
      <c r="C76" s="19"/>
      <c r="D76" s="7"/>
      <c r="E76" s="7"/>
      <c r="F76" s="2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3" customFormat="1" ht="18.75" customHeight="1" x14ac:dyDescent="0.35">
      <c r="A77" s="7"/>
      <c r="B77" s="7"/>
      <c r="C77" s="19"/>
      <c r="D77" s="7"/>
      <c r="E77" s="7"/>
      <c r="F77" s="2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s="3" customFormat="1" ht="18.75" customHeight="1" x14ac:dyDescent="0.35">
      <c r="A78" s="7"/>
      <c r="B78" s="7"/>
      <c r="C78" s="19"/>
      <c r="D78" s="7"/>
      <c r="E78" s="7"/>
      <c r="F78" s="2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s="3" customFormat="1" ht="18.75" customHeight="1" x14ac:dyDescent="0.35">
      <c r="A79" s="7"/>
      <c r="B79" s="7"/>
      <c r="C79" s="19"/>
      <c r="D79" s="7"/>
      <c r="E79" s="7"/>
      <c r="F79" s="2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s="3" customFormat="1" ht="18.75" customHeight="1" x14ac:dyDescent="0.35">
      <c r="A80" s="7"/>
      <c r="B80" s="7"/>
      <c r="C80" s="19"/>
      <c r="D80" s="7"/>
      <c r="E80" s="7"/>
      <c r="F80" s="2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s="3" customFormat="1" ht="18.75" customHeight="1" x14ac:dyDescent="0.35">
      <c r="A81" s="7"/>
      <c r="B81" s="7"/>
      <c r="C81" s="19"/>
      <c r="D81" s="7"/>
      <c r="E81" s="7"/>
      <c r="F81" s="2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s="3" customFormat="1" ht="18.75" customHeight="1" x14ac:dyDescent="0.35">
      <c r="A82" s="7"/>
      <c r="B82" s="7"/>
      <c r="C82" s="19"/>
      <c r="D82" s="7"/>
      <c r="E82" s="7"/>
      <c r="F82" s="2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s="3" customFormat="1" ht="18.75" customHeight="1" x14ac:dyDescent="0.35">
      <c r="A83" s="7"/>
      <c r="B83" s="7"/>
      <c r="C83" s="19"/>
      <c r="D83" s="7"/>
      <c r="E83" s="7"/>
      <c r="F83" s="2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s="3" customFormat="1" ht="18.75" customHeight="1" x14ac:dyDescent="0.35">
      <c r="A84" s="7"/>
      <c r="B84" s="7"/>
      <c r="C84" s="19"/>
      <c r="D84" s="7"/>
      <c r="E84" s="7"/>
      <c r="F84" s="2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s="3" customFormat="1" ht="18.75" customHeight="1" x14ac:dyDescent="0.35">
      <c r="A85" s="7"/>
      <c r="B85" s="7"/>
      <c r="C85" s="19"/>
      <c r="D85" s="7"/>
      <c r="E85" s="7"/>
      <c r="F85" s="2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s="3" customFormat="1" ht="18.75" customHeight="1" x14ac:dyDescent="0.35">
      <c r="A86" s="7"/>
      <c r="B86" s="7"/>
      <c r="C86" s="19"/>
      <c r="D86" s="7"/>
      <c r="E86" s="7"/>
      <c r="F86" s="2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s="3" customFormat="1" ht="18.75" customHeight="1" x14ac:dyDescent="0.35">
      <c r="A87" s="7"/>
      <c r="B87" s="7"/>
      <c r="C87" s="19"/>
      <c r="D87" s="7"/>
      <c r="E87" s="7"/>
      <c r="F87" s="2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s="3" customFormat="1" ht="18.75" customHeight="1" x14ac:dyDescent="0.35">
      <c r="A88" s="7"/>
      <c r="B88" s="7"/>
      <c r="C88" s="19"/>
      <c r="D88" s="7"/>
      <c r="E88" s="7"/>
      <c r="F88" s="2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s="3" customFormat="1" ht="18.75" customHeight="1" x14ac:dyDescent="0.35">
      <c r="A89" s="7"/>
      <c r="B89" s="7"/>
      <c r="C89" s="19"/>
      <c r="D89" s="7"/>
      <c r="E89" s="7"/>
      <c r="F89" s="2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s="3" customFormat="1" ht="18.75" customHeight="1" x14ac:dyDescent="0.35">
      <c r="A90" s="7"/>
      <c r="B90" s="7"/>
      <c r="C90" s="19"/>
      <c r="D90" s="7"/>
      <c r="E90" s="7"/>
      <c r="F90" s="2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s="3" customFormat="1" ht="18.75" customHeight="1" x14ac:dyDescent="0.35">
      <c r="A91" s="7"/>
      <c r="B91" s="7"/>
      <c r="C91" s="19"/>
      <c r="D91" s="7"/>
      <c r="E91" s="7"/>
      <c r="F91" s="2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s="3" customFormat="1" ht="18.75" customHeight="1" x14ac:dyDescent="0.35">
      <c r="A92" s="7"/>
      <c r="B92" s="7"/>
      <c r="C92" s="19"/>
      <c r="D92" s="7"/>
      <c r="E92" s="7"/>
      <c r="F92" s="2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s="3" customFormat="1" ht="18.75" customHeight="1" x14ac:dyDescent="0.35">
      <c r="A93" s="7"/>
      <c r="B93" s="7"/>
      <c r="C93" s="19"/>
      <c r="D93" s="7"/>
      <c r="E93" s="7"/>
      <c r="F93" s="2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s="3" customFormat="1" ht="18.75" customHeight="1" x14ac:dyDescent="0.35">
      <c r="A94" s="7"/>
      <c r="B94" s="7"/>
      <c r="C94" s="19"/>
      <c r="D94" s="7"/>
      <c r="E94" s="7"/>
      <c r="F94" s="2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s="3" customFormat="1" ht="18.75" customHeight="1" x14ac:dyDescent="0.35">
      <c r="A95" s="7"/>
      <c r="B95" s="7"/>
      <c r="C95" s="19"/>
      <c r="D95" s="7"/>
      <c r="E95" s="7"/>
      <c r="F95" s="2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s="3" customFormat="1" ht="18.75" customHeight="1" x14ac:dyDescent="0.35">
      <c r="A96" s="7"/>
      <c r="B96" s="7"/>
      <c r="C96" s="19"/>
      <c r="D96" s="7"/>
      <c r="E96" s="7"/>
      <c r="F96" s="2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s="3" customFormat="1" ht="18.75" customHeight="1" x14ac:dyDescent="0.35">
      <c r="A97" s="7"/>
      <c r="B97" s="7"/>
      <c r="C97" s="19"/>
      <c r="D97" s="7"/>
      <c r="E97" s="7"/>
      <c r="F97" s="2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s="3" customFormat="1" ht="18.75" customHeight="1" x14ac:dyDescent="0.35">
      <c r="A98" s="7"/>
      <c r="B98" s="7"/>
      <c r="C98" s="19"/>
      <c r="D98" s="7"/>
      <c r="E98" s="7"/>
      <c r="F98" s="2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s="3" customFormat="1" ht="18.75" customHeight="1" x14ac:dyDescent="0.35">
      <c r="A99" s="7"/>
      <c r="B99" s="7"/>
      <c r="C99" s="19"/>
      <c r="D99" s="7"/>
      <c r="E99" s="7"/>
      <c r="F99" s="2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s="3" customFormat="1" ht="18.75" customHeight="1" x14ac:dyDescent="0.35">
      <c r="A100" s="7"/>
      <c r="B100" s="7"/>
      <c r="C100" s="19"/>
      <c r="D100" s="7"/>
      <c r="E100" s="7"/>
      <c r="F100" s="2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s="3" customFormat="1" ht="18.75" customHeight="1" x14ac:dyDescent="0.35">
      <c r="A101" s="7"/>
      <c r="B101" s="7"/>
      <c r="C101" s="19"/>
      <c r="D101" s="7"/>
      <c r="E101" s="7"/>
      <c r="F101" s="2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s="3" customFormat="1" ht="18.75" customHeight="1" x14ac:dyDescent="0.35">
      <c r="A102" s="7"/>
      <c r="B102" s="7"/>
      <c r="C102" s="19"/>
      <c r="D102" s="7"/>
      <c r="E102" s="7"/>
      <c r="F102" s="2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s="3" customFormat="1" ht="18.75" customHeight="1" x14ac:dyDescent="0.35">
      <c r="A103" s="7"/>
      <c r="B103" s="7"/>
      <c r="C103" s="19"/>
      <c r="D103" s="7"/>
      <c r="E103" s="7"/>
      <c r="F103" s="2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s="3" customFormat="1" ht="18.75" customHeight="1" x14ac:dyDescent="0.35">
      <c r="A104" s="7"/>
      <c r="B104" s="7"/>
      <c r="C104" s="19"/>
      <c r="D104" s="7"/>
      <c r="E104" s="7"/>
      <c r="F104" s="2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s="3" customFormat="1" ht="18.75" customHeight="1" x14ac:dyDescent="0.35">
      <c r="A105" s="7"/>
      <c r="B105" s="7"/>
      <c r="C105" s="19"/>
      <c r="D105" s="7"/>
      <c r="E105" s="7"/>
      <c r="F105" s="2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s="3" customFormat="1" ht="18.75" customHeight="1" x14ac:dyDescent="0.45">
      <c r="A106" s="28" t="s">
        <v>18</v>
      </c>
      <c r="B106" s="28"/>
      <c r="C106" s="13"/>
      <c r="D106" s="5"/>
      <c r="E106" s="5"/>
      <c r="F106" s="14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1:19" ht="18.75" customHeight="1" x14ac:dyDescent="0.35">
      <c r="A107" s="9" t="s">
        <v>19</v>
      </c>
      <c r="B107" s="10"/>
      <c r="C107" s="10">
        <f>IFERROR(AVERAGEIF($A$6:$A$105,"真题卷",$C$6:$C$105),"")</f>
        <v>1</v>
      </c>
      <c r="D107" s="10"/>
      <c r="E107" s="10"/>
      <c r="F107" s="10"/>
      <c r="G107" s="10"/>
      <c r="H107" s="10" t="str">
        <f>IFERROR(AVERAGEIF($A$6:$A$105,"真题卷",$H$6:$H$105),"")</f>
        <v/>
      </c>
      <c r="I107" s="10" t="str">
        <f>IFERROR(AVERAGEIF($A$6:$A$105,"真题卷",$I$6:$I$105),"")</f>
        <v/>
      </c>
      <c r="J107" s="10" t="str">
        <f>IFERROR(AVERAGEIF($A$6:$A$105,"真题卷",$J$6:$J$105),"")</f>
        <v/>
      </c>
      <c r="K107" s="10" t="str">
        <f>IFERROR(AVERAGEIF($A$6:$A$105,"真题卷",$K$6:$K$105),"")</f>
        <v/>
      </c>
      <c r="L107" s="10" t="str">
        <f>IFERROR(AVERAGEIF($A$6:$A$105,"真题卷",$L$6:$L$105),"")</f>
        <v/>
      </c>
      <c r="M107" s="10" t="str">
        <f>IFERROR(AVERAGEIF($A$6:$A$105,"真题卷",$M$6:$M$105),"")</f>
        <v/>
      </c>
      <c r="N107" s="10" t="str">
        <f>IFERROR(AVERAGEIF($A$6:$A$105,"真题卷",$N$6:$N$105),"")</f>
        <v/>
      </c>
      <c r="O107" s="10" t="str">
        <f>IFERROR(AVERAGEIF($A$6:$A$105,"真题卷",$O$6:$O$105),"")</f>
        <v/>
      </c>
      <c r="P107" s="10" t="str">
        <f>IFERROR(AVERAGEIF($A$6:$A$105,"真题卷",$P$6:$P$105),"")</f>
        <v/>
      </c>
      <c r="Q107" s="10" t="str">
        <f>IFERROR(AVERAGEIF($A$6:$A$105,"真题卷",$Q$6:$Q$105),"")</f>
        <v/>
      </c>
      <c r="R107" s="10"/>
      <c r="S107" s="10"/>
    </row>
    <row r="108" spans="1:19" ht="18.75" customHeight="1" x14ac:dyDescent="0.45">
      <c r="A108" s="21" t="s">
        <v>20</v>
      </c>
      <c r="B108" s="10"/>
      <c r="C108" s="10">
        <f>IFERROR(AVERAGEIF($A$6:$A$105,"模拟卷",$C$6:$C$105),"")</f>
        <v>2</v>
      </c>
      <c r="D108" s="10"/>
      <c r="E108" s="10"/>
      <c r="F108" s="10"/>
      <c r="G108" s="10"/>
      <c r="H108" s="10" t="str">
        <f>IFERROR(AVERAGEIF($A$6:$A$105,"模拟卷",$H$6:$H$105),"")</f>
        <v/>
      </c>
      <c r="I108" s="10" t="str">
        <f>IFERROR(AVERAGEIF($A$6:$A$105,"模拟卷",$I$6:$I$105),"")</f>
        <v/>
      </c>
      <c r="J108" s="10" t="str">
        <f>IFERROR(AVERAGEIF($A$6:$A$105,"模拟卷",$J$6:$J$105),"")</f>
        <v/>
      </c>
      <c r="K108" s="10" t="str">
        <f>IFERROR(AVERAGEIF($A$6:$A$105,"模拟卷",$K$6:$K$105),"")</f>
        <v/>
      </c>
      <c r="L108" s="10" t="str">
        <f>IFERROR(AVERAGEIF($A$6:$A$105,"模拟卷",$L$6:$L$105),"")</f>
        <v/>
      </c>
      <c r="M108" s="10" t="str">
        <f>IFERROR(AVERAGEIF($A$6:$A$105,"模拟卷",$M$6:$M$105),"")</f>
        <v/>
      </c>
      <c r="N108" s="10" t="str">
        <f>IFERROR(AVERAGEIF($A$6:$A$105,"模拟卷",$N$6:$N$105),"")</f>
        <v/>
      </c>
      <c r="O108" s="10" t="str">
        <f>IFERROR(AVERAGEIF($A$6:$A$105,"模拟卷",$O$6:$O$105),"")</f>
        <v/>
      </c>
      <c r="P108" s="10" t="str">
        <f>IFERROR(AVERAGEIF($A$6:$A$105,"模拟卷",$P$6:$P$105),"")</f>
        <v/>
      </c>
      <c r="Q108" s="10" t="str">
        <f>IFERROR(AVERAGEIF($A$6:$A$105,"模拟卷",$Q$6:$Q$105),"")</f>
        <v/>
      </c>
      <c r="R108" s="10"/>
      <c r="S108" s="10"/>
    </row>
    <row r="109" spans="1:19" ht="18.75" customHeight="1" x14ac:dyDescent="0.35">
      <c r="A109" s="9" t="s">
        <v>21</v>
      </c>
      <c r="B109" s="10"/>
      <c r="C109" s="10">
        <f>IFERROR(AVERAGE($C$6:$C$105),"")</f>
        <v>1.5</v>
      </c>
      <c r="D109" s="10"/>
      <c r="E109" s="10"/>
      <c r="F109" s="10"/>
      <c r="G109" s="10"/>
      <c r="H109" s="10" t="str">
        <f>IFERROR(AVERAGE($H$6:$H$105),"")</f>
        <v/>
      </c>
      <c r="I109" s="10" t="str">
        <f>IFERROR(AVERAGE($I$6:$I$105),"")</f>
        <v/>
      </c>
      <c r="J109" s="10" t="str">
        <f>IFERROR(AVERAGE($J$6:$J$105),"")</f>
        <v/>
      </c>
      <c r="K109" s="10" t="str">
        <f>IFERROR(AVERAGE($K$6:$K$105),"")</f>
        <v/>
      </c>
      <c r="L109" s="10" t="str">
        <f>IFERROR(AVERAGE($L$6:$L$105),"")</f>
        <v/>
      </c>
      <c r="M109" s="10" t="str">
        <f>IFERROR(AVERAGE($M$6:$M$105),"")</f>
        <v/>
      </c>
      <c r="N109" s="10" t="str">
        <f>IFERROR(AVERAGE($N$6:$N$105),"")</f>
        <v/>
      </c>
      <c r="O109" s="10" t="str">
        <f>IFERROR(AVERAGE($O$6:$O$105),"")</f>
        <v/>
      </c>
      <c r="P109" s="10" t="str">
        <f>IFERROR(AVERAGE($P$6:$P$105),"")</f>
        <v/>
      </c>
      <c r="Q109" s="10" t="str">
        <f>IFERROR(AVERAGE($Q$6:$Q$105),"")</f>
        <v/>
      </c>
      <c r="R109" s="10"/>
      <c r="S109" s="10"/>
    </row>
  </sheetData>
  <mergeCells count="5">
    <mergeCell ref="A1:S1"/>
    <mergeCell ref="A2:S2"/>
    <mergeCell ref="A3:S3"/>
    <mergeCell ref="A4:S4"/>
    <mergeCell ref="A106:B106"/>
  </mergeCells>
  <phoneticPr fontId="7" type="noConversion"/>
  <conditionalFormatting sqref="C6:C105">
    <cfRule type="expression" dxfId="101" priority="47" stopIfTrue="1">
      <formula>AND(ISNUMBER(C6),C6&gt;=80)</formula>
    </cfRule>
    <cfRule type="expression" dxfId="100" priority="48" stopIfTrue="1">
      <formula>AND(ISNUMBER(C6),C6&gt;=65,C6&lt;80)</formula>
    </cfRule>
    <cfRule type="expression" dxfId="99" priority="49" stopIfTrue="1">
      <formula>AND(ISNUMBER(C6),C6&lt;65)</formula>
    </cfRule>
  </conditionalFormatting>
  <conditionalFormatting sqref="D6:D105">
    <cfRule type="expression" dxfId="98" priority="4" stopIfTrue="1">
      <formula>OR(AND(ISNUMBER(D6),D6=1),D6="简单",D6="好",D6="稳定",D6="轻松")</formula>
    </cfRule>
    <cfRule type="expression" dxfId="97" priority="5" stopIfTrue="1">
      <formula>OR(AND(ISNUMBER(D6),D6&gt;=2,D6&lt;=3),D6="中等",D6="正常",D6="一般")</formula>
    </cfRule>
    <cfRule type="expression" dxfId="96" priority="6" stopIfTrue="1">
      <formula>OR(AND(ISNUMBER(D6),D6&gt;=4),D6="偏难",D6="很难",D6="差",D6="崩",D6="紧张",D6="疲惫")</formula>
    </cfRule>
  </conditionalFormatting>
  <conditionalFormatting sqref="F6:F105">
    <cfRule type="expression" dxfId="95" priority="44" stopIfTrue="1">
      <formula>AND(ISNUMBER(F6),F6&lt;=120)</formula>
    </cfRule>
    <cfRule type="expression" dxfId="94" priority="45" stopIfTrue="1">
      <formula>AND(ISNUMBER(F6),F6&gt;120,F6&lt;=150)</formula>
    </cfRule>
    <cfRule type="expression" dxfId="93" priority="46" stopIfTrue="1">
      <formula>AND(ISNUMBER(F6),F6&gt;150)</formula>
    </cfRule>
  </conditionalFormatting>
  <conditionalFormatting sqref="G6:G105">
    <cfRule type="expression" dxfId="92" priority="1" stopIfTrue="1">
      <formula>OR(AND(ISNUMBER(G6),G6=1),G6="简单",G6="好",G6="稳定",G6="轻松")</formula>
    </cfRule>
    <cfRule type="expression" dxfId="91" priority="2" stopIfTrue="1">
      <formula>OR(AND(ISNUMBER(G6),G6&gt;=2,G6&lt;=3),G6="中等",G6="正常",G6="一般")</formula>
    </cfRule>
    <cfRule type="expression" dxfId="90" priority="3" stopIfTrue="1">
      <formula>OR(AND(ISNUMBER(G6),G6&gt;=4),G6="偏难",G6="很难",G6="差",G6="崩",G6="紧张",G6="疲惫")</formula>
    </cfRule>
  </conditionalFormatting>
  <conditionalFormatting sqref="H6:I105">
    <cfRule type="expression" dxfId="89" priority="21" stopIfTrue="1">
      <formula>AND(ISNUMBER(H6),H6&gt;0,H6&lt;6)</formula>
    </cfRule>
    <cfRule type="expression" dxfId="88" priority="22" stopIfTrue="1">
      <formula>AND(ISNUMBER(H6),H6&gt;=6)</formula>
    </cfRule>
  </conditionalFormatting>
  <conditionalFormatting sqref="H6:Q105">
    <cfRule type="expression" dxfId="87" priority="8" stopIfTrue="1">
      <formula>AND(ISNUMBER(H6),H6=0)</formula>
    </cfRule>
  </conditionalFormatting>
  <conditionalFormatting sqref="J6:K105">
    <cfRule type="expression" dxfId="86" priority="18" stopIfTrue="1">
      <formula>AND(ISNUMBER(J6),J6&gt;0,J6&lt;8)</formula>
    </cfRule>
    <cfRule type="expression" dxfId="85" priority="19" stopIfTrue="1">
      <formula>AND(ISNUMBER(J6),J6&gt;=8)</formula>
    </cfRule>
  </conditionalFormatting>
  <conditionalFormatting sqref="L6:L105">
    <cfRule type="expression" dxfId="84" priority="36" stopIfTrue="1">
      <formula>AND(ISNUMBER(L6),L6&gt;0,L6&lt;4)</formula>
    </cfRule>
    <cfRule type="expression" dxfId="83" priority="37" stopIfTrue="1">
      <formula>AND(ISNUMBER(L6),L6&gt;=4)</formula>
    </cfRule>
  </conditionalFormatting>
  <conditionalFormatting sqref="M6:M105">
    <cfRule type="expression" dxfId="82" priority="12" stopIfTrue="1">
      <formula>AND(ISNUMBER(M6),M6&gt;0,M6&lt;6)</formula>
    </cfRule>
    <cfRule type="expression" dxfId="81" priority="13" stopIfTrue="1">
      <formula>AND(ISNUMBER(M6),M6&gt;=6)</formula>
    </cfRule>
  </conditionalFormatting>
  <conditionalFormatting sqref="N6:N105">
    <cfRule type="expression" dxfId="80" priority="15" stopIfTrue="1">
      <formula>AND(ISNUMBER(N6),N6&gt;0,N6&lt;3)</formula>
    </cfRule>
    <cfRule type="expression" dxfId="79" priority="16" stopIfTrue="1">
      <formula>AND(ISNUMBER(N6),N6&gt;=3)</formula>
    </cfRule>
  </conditionalFormatting>
  <conditionalFormatting sqref="O6:O105">
    <cfRule type="expression" dxfId="78" priority="30" stopIfTrue="1">
      <formula>AND(ISNUMBER(O6),O6&gt;0,O6&lt;4)</formula>
    </cfRule>
    <cfRule type="expression" dxfId="77" priority="31" stopIfTrue="1">
      <formula>AND(ISNUMBER(O6),O6&gt;=4)</formula>
    </cfRule>
  </conditionalFormatting>
  <conditionalFormatting sqref="P6:P105">
    <cfRule type="expression" dxfId="76" priority="9" stopIfTrue="1">
      <formula>AND(ISNUMBER(P6),P6&gt;0,P6&lt;3)</formula>
    </cfRule>
    <cfRule type="expression" dxfId="75" priority="10" stopIfTrue="1">
      <formula>AND(ISNUMBER(P6),P6&gt;=3)</formula>
    </cfRule>
  </conditionalFormatting>
  <conditionalFormatting sqref="Q6:Q105">
    <cfRule type="expression" dxfId="74" priority="33" stopIfTrue="1">
      <formula>AND(ISNUMBER(Q6),Q6&gt;0,Q6&lt;5)</formula>
    </cfRule>
    <cfRule type="expression" dxfId="73" priority="34" stopIfTrue="1">
      <formula>AND(ISNUMBER(Q6),Q6&gt;=5)</formula>
    </cfRule>
  </conditionalFormatting>
  <conditionalFormatting sqref="R6:R105">
    <cfRule type="expression" dxfId="72" priority="7" stopIfTrue="1">
      <formula>LEN(TRIM(R6&amp;""))&gt;0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R109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style="2" bestFit="1" customWidth="1"/>
    <col min="2" max="2" width="20" style="2" bestFit="1" customWidth="1"/>
    <col min="3" max="3" width="11" style="2" bestFit="1" customWidth="1"/>
    <col min="4" max="6" width="12" style="2" bestFit="1" customWidth="1"/>
    <col min="7" max="7" width="20" style="2" bestFit="1" customWidth="1"/>
    <col min="8" max="16" width="11" style="2" bestFit="1" customWidth="1"/>
    <col min="17" max="18" width="20" style="2" bestFit="1" customWidth="1"/>
  </cols>
  <sheetData>
    <row r="1" spans="1:18" ht="18.75" customHeight="1" x14ac:dyDescent="0.45">
      <c r="A1" s="24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pans="1:18" s="3" customFormat="1" ht="18.75" customHeight="1" x14ac:dyDescent="0.35">
      <c r="A2" s="26" t="s">
        <v>23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</row>
    <row r="3" spans="1:18" s="3" customFormat="1" ht="18.75" customHeight="1" x14ac:dyDescent="0.35">
      <c r="A3" s="26" t="s">
        <v>24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</row>
    <row r="4" spans="1:18" s="3" customFormat="1" ht="18.75" customHeight="1" x14ac:dyDescent="0.35">
      <c r="A4" s="26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</row>
    <row r="5" spans="1:18" s="3" customFormat="1" ht="18.75" customHeight="1" x14ac:dyDescent="0.35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67</v>
      </c>
      <c r="K5" s="6" t="s">
        <v>68</v>
      </c>
      <c r="L5" s="6" t="s">
        <v>27</v>
      </c>
      <c r="M5" s="6" t="s">
        <v>28</v>
      </c>
      <c r="N5" s="6" t="s">
        <v>29</v>
      </c>
      <c r="O5" s="6" t="s">
        <v>30</v>
      </c>
      <c r="P5" s="6" t="s">
        <v>31</v>
      </c>
      <c r="Q5" s="6" t="s">
        <v>16</v>
      </c>
      <c r="R5" s="6" t="s">
        <v>17</v>
      </c>
    </row>
    <row r="6" spans="1:18" s="3" customFormat="1" ht="18.75" customHeight="1" x14ac:dyDescent="0.3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s="3" customFormat="1" ht="18.75" customHeight="1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s="3" customFormat="1" ht="18.75" customHeight="1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</row>
    <row r="9" spans="1:18" s="3" customFormat="1" ht="18.75" customHeight="1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1:18" s="3" customFormat="1" ht="18.75" customHeight="1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s="3" customFormat="1" ht="18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18" s="3" customFormat="1" ht="18.75" customHeight="1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</row>
    <row r="13" spans="1:18" s="3" customFormat="1" ht="18.75" customHeight="1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s="3" customFormat="1" ht="18.75" customHeight="1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spans="1:18" s="3" customFormat="1" ht="18.75" customHeight="1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spans="1:18" s="3" customFormat="1" ht="18.75" customHeight="1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s="3" customFormat="1" ht="18.75" customHeight="1" x14ac:dyDescent="0.3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8" s="3" customFormat="1" ht="18.75" customHeight="1" x14ac:dyDescent="0.3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</row>
    <row r="19" spans="1:18" s="3" customFormat="1" ht="18.75" customHeight="1" x14ac:dyDescent="0.3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s="3" customFormat="1" ht="18.75" customHeight="1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 spans="1:18" s="3" customFormat="1" ht="18.75" customHeight="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</row>
    <row r="22" spans="1:18" s="3" customFormat="1" ht="18.75" customHeight="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s="3" customFormat="1" ht="18.75" customHeight="1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1:18" s="3" customFormat="1" ht="18.75" customHeight="1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</row>
    <row r="25" spans="1:18" s="3" customFormat="1" ht="18.75" customHeight="1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s="3" customFormat="1" ht="18.75" customHeight="1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</row>
    <row r="27" spans="1:18" s="3" customFormat="1" ht="18.75" customHeight="1" x14ac:dyDescent="0.3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</row>
    <row r="28" spans="1:18" s="3" customFormat="1" ht="18.75" customHeight="1" x14ac:dyDescent="0.3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s="3" customFormat="1" ht="18.75" customHeight="1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8" s="3" customFormat="1" ht="18.75" customHeight="1" x14ac:dyDescent="0.3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</row>
    <row r="31" spans="1:18" s="3" customFormat="1" ht="18.75" customHeight="1" x14ac:dyDescent="0.3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s="3" customFormat="1" ht="18.75" customHeight="1" x14ac:dyDescent="0.3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18" s="3" customFormat="1" ht="18.75" customHeight="1" x14ac:dyDescent="0.3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</row>
    <row r="34" spans="1:18" s="3" customFormat="1" ht="18.75" customHeight="1" x14ac:dyDescent="0.3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s="3" customFormat="1" ht="18.75" customHeight="1" x14ac:dyDescent="0.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</row>
    <row r="36" spans="1:18" s="3" customFormat="1" ht="18.75" customHeight="1" x14ac:dyDescent="0.3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</row>
    <row r="37" spans="1:18" s="3" customFormat="1" ht="18.75" customHeight="1" x14ac:dyDescent="0.3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s="3" customFormat="1" ht="18.75" customHeight="1" x14ac:dyDescent="0.3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</row>
    <row r="39" spans="1:18" s="3" customFormat="1" ht="18.75" customHeight="1" x14ac:dyDescent="0.3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</row>
    <row r="40" spans="1:18" s="3" customFormat="1" ht="18.75" customHeight="1" x14ac:dyDescent="0.3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</row>
    <row r="41" spans="1:18" s="3" customFormat="1" ht="18.75" customHeight="1" x14ac:dyDescent="0.3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</row>
    <row r="42" spans="1:18" s="3" customFormat="1" ht="18.75" customHeight="1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</row>
    <row r="43" spans="1:18" s="3" customFormat="1" ht="18.75" customHeight="1" x14ac:dyDescent="0.3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</row>
    <row r="44" spans="1:18" s="3" customFormat="1" ht="18.75" customHeight="1" x14ac:dyDescent="0.3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 spans="1:18" s="3" customFormat="1" ht="18.75" customHeight="1" x14ac:dyDescent="0.3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</row>
    <row r="46" spans="1:18" s="3" customFormat="1" ht="18.75" customHeight="1" x14ac:dyDescent="0.3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</row>
    <row r="47" spans="1:18" s="3" customFormat="1" ht="18.75" customHeight="1" x14ac:dyDescent="0.3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</row>
    <row r="48" spans="1:18" s="3" customFormat="1" ht="18.75" customHeight="1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</row>
    <row r="49" spans="1:18" s="3" customFormat="1" ht="18.75" customHeight="1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  <row r="50" spans="1:18" s="3" customFormat="1" ht="18.75" customHeight="1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</row>
    <row r="51" spans="1:18" s="3" customFormat="1" ht="18.75" customHeight="1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</row>
    <row r="52" spans="1:18" s="3" customFormat="1" ht="18.75" customHeight="1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</row>
    <row r="53" spans="1:18" s="3" customFormat="1" ht="18.75" customHeight="1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</row>
    <row r="54" spans="1:18" s="3" customFormat="1" ht="18.75" customHeight="1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</row>
    <row r="55" spans="1:18" s="3" customFormat="1" ht="18.75" customHeight="1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</row>
    <row r="56" spans="1:18" s="3" customFormat="1" ht="18.75" customHeight="1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</row>
    <row r="57" spans="1:18" s="3" customFormat="1" ht="18.75" customHeight="1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</row>
    <row r="58" spans="1:18" s="3" customFormat="1" ht="18.75" customHeight="1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</row>
    <row r="59" spans="1:18" s="3" customFormat="1" ht="18.75" customHeight="1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</row>
    <row r="60" spans="1:18" s="3" customFormat="1" ht="18.75" customHeight="1" x14ac:dyDescent="0.3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</row>
    <row r="61" spans="1:18" s="3" customFormat="1" ht="18.75" customHeight="1" x14ac:dyDescent="0.3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</row>
    <row r="62" spans="1:18" s="3" customFormat="1" ht="18.75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</row>
    <row r="63" spans="1:18" s="3" customFormat="1" ht="18.75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</row>
    <row r="64" spans="1:18" s="3" customFormat="1" ht="18.75" customHeight="1" x14ac:dyDescent="0.3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</row>
    <row r="65" spans="1:18" s="3" customFormat="1" ht="18.75" customHeight="1" x14ac:dyDescent="0.3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</row>
    <row r="66" spans="1:18" s="3" customFormat="1" ht="18.75" customHeight="1" x14ac:dyDescent="0.3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</row>
    <row r="67" spans="1:18" s="3" customFormat="1" ht="18.75" customHeight="1" x14ac:dyDescent="0.3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</row>
    <row r="68" spans="1:18" s="3" customFormat="1" ht="18.75" customHeight="1" x14ac:dyDescent="0.3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</row>
    <row r="69" spans="1:18" s="3" customFormat="1" ht="18.75" customHeight="1" x14ac:dyDescent="0.3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</row>
    <row r="70" spans="1:18" s="3" customFormat="1" ht="18.75" customHeight="1" x14ac:dyDescent="0.3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</row>
    <row r="71" spans="1:18" s="3" customFormat="1" ht="18.75" customHeight="1" x14ac:dyDescent="0.3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</row>
    <row r="72" spans="1:18" s="3" customFormat="1" ht="18.75" customHeight="1" x14ac:dyDescent="0.3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</row>
    <row r="73" spans="1:18" s="3" customFormat="1" ht="18.75" customHeight="1" x14ac:dyDescent="0.3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</row>
    <row r="74" spans="1:18" s="3" customFormat="1" ht="18.75" customHeight="1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</row>
    <row r="75" spans="1:18" s="3" customFormat="1" ht="18.75" customHeight="1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</row>
    <row r="76" spans="1:18" s="3" customFormat="1" ht="18.75" customHeight="1" x14ac:dyDescent="0.3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</row>
    <row r="77" spans="1:18" s="3" customFormat="1" ht="18.75" customHeight="1" x14ac:dyDescent="0.3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</row>
    <row r="78" spans="1:18" s="3" customFormat="1" ht="18.75" customHeight="1" x14ac:dyDescent="0.3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</row>
    <row r="79" spans="1:18" s="3" customFormat="1" ht="18.75" customHeight="1" x14ac:dyDescent="0.3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</row>
    <row r="80" spans="1:18" s="3" customFormat="1" ht="18.75" customHeight="1" x14ac:dyDescent="0.3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</row>
    <row r="81" spans="1:18" s="3" customFormat="1" ht="18.75" customHeight="1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3" customFormat="1" ht="18.75" customHeight="1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</row>
    <row r="83" spans="1:18" s="3" customFormat="1" ht="18.75" customHeight="1" x14ac:dyDescent="0.3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</row>
    <row r="84" spans="1:18" s="3" customFormat="1" ht="18.75" customHeight="1" x14ac:dyDescent="0.3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</row>
    <row r="85" spans="1:18" s="3" customFormat="1" ht="18.75" customHeight="1" x14ac:dyDescent="0.3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</row>
    <row r="86" spans="1:18" s="3" customFormat="1" ht="18.75" customHeight="1" x14ac:dyDescent="0.3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</row>
    <row r="87" spans="1:18" s="3" customFormat="1" ht="18.75" customHeight="1" x14ac:dyDescent="0.3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</row>
    <row r="88" spans="1:18" s="3" customFormat="1" ht="18.75" customHeight="1" x14ac:dyDescent="0.3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</row>
    <row r="89" spans="1:18" s="3" customFormat="1" ht="18.75" customHeight="1" x14ac:dyDescent="0.3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</row>
    <row r="90" spans="1:18" s="3" customFormat="1" ht="18.75" customHeight="1" x14ac:dyDescent="0.3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</row>
    <row r="91" spans="1:18" s="3" customFormat="1" ht="18.75" customHeight="1" x14ac:dyDescent="0.3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</row>
    <row r="92" spans="1:18" s="3" customFormat="1" ht="18.75" customHeight="1" x14ac:dyDescent="0.3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</row>
    <row r="93" spans="1:18" s="3" customFormat="1" ht="18.75" customHeight="1" x14ac:dyDescent="0.3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</row>
    <row r="94" spans="1:18" s="3" customFormat="1" ht="18.75" customHeight="1" x14ac:dyDescent="0.3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</row>
    <row r="95" spans="1:18" s="3" customFormat="1" ht="18.75" customHeight="1" x14ac:dyDescent="0.3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</row>
    <row r="96" spans="1:18" s="3" customFormat="1" ht="18.75" customHeight="1" x14ac:dyDescent="0.3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</row>
    <row r="97" spans="1:18" s="3" customFormat="1" ht="18.75" customHeight="1" x14ac:dyDescent="0.3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</row>
    <row r="98" spans="1:18" s="3" customFormat="1" ht="18.75" customHeight="1" x14ac:dyDescent="0.3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</row>
    <row r="99" spans="1:18" s="3" customFormat="1" ht="18.75" customHeight="1" x14ac:dyDescent="0.3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</row>
    <row r="100" spans="1:18" s="3" customFormat="1" ht="18.75" customHeight="1" x14ac:dyDescent="0.3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</row>
    <row r="101" spans="1:18" s="3" customFormat="1" ht="18.75" customHeight="1" x14ac:dyDescent="0.3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3" customFormat="1" ht="18.75" customHeight="1" x14ac:dyDescent="0.3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</row>
    <row r="103" spans="1:18" s="3" customFormat="1" ht="18.75" customHeight="1" x14ac:dyDescent="0.3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</row>
    <row r="104" spans="1:18" s="3" customFormat="1" ht="18.75" customHeight="1" x14ac:dyDescent="0.3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</row>
    <row r="105" spans="1:18" s="3" customFormat="1" ht="18.75" customHeight="1" x14ac:dyDescent="0.3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</row>
    <row r="106" spans="1:18" s="3" customFormat="1" ht="18.75" customHeight="1" x14ac:dyDescent="0.45">
      <c r="A106" s="28" t="s">
        <v>18</v>
      </c>
      <c r="B106" s="28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8.75" customHeight="1" x14ac:dyDescent="0.35">
      <c r="A107" s="9" t="s">
        <v>19</v>
      </c>
      <c r="B107" s="10"/>
      <c r="C107" s="10" t="str">
        <f>IFERROR(AVERAGEIF($A$6:$A$105,"真题卷",$C$6:$C$105),"")</f>
        <v/>
      </c>
      <c r="D107" s="10"/>
      <c r="E107" s="10"/>
      <c r="F107" s="10"/>
      <c r="G107" s="10"/>
      <c r="H107" s="10" t="str">
        <f>IFERROR(AVERAGEIF($A$6:$A$105,"真题卷",$H$6:$H$105),"")</f>
        <v/>
      </c>
      <c r="I107" s="10" t="str">
        <f>IFERROR(AVERAGEIF($A$6:$A$105,"真题卷",$I$6:$I$105),"")</f>
        <v/>
      </c>
      <c r="J107" s="10" t="str">
        <f>IFERROR(AVERAGEIF($A$6:$A$105,"真题卷",$J$6:$J$105),"")</f>
        <v/>
      </c>
      <c r="K107" s="10" t="str">
        <f>IFERROR(AVERAGEIF($A$6:$A$105,"真题卷",$K$6:$K$105),"")</f>
        <v/>
      </c>
      <c r="L107" s="10" t="str">
        <f>IFERROR(AVERAGEIF($A$6:$A$105,"真题卷",$L$6:$L$105),"")</f>
        <v/>
      </c>
      <c r="M107" s="10" t="str">
        <f>IFERROR(AVERAGEIF($A$6:$A$105,"真题卷",$M$6:$M$105),"")</f>
        <v/>
      </c>
      <c r="N107" s="10" t="str">
        <f>IFERROR(AVERAGEIF($A$6:$A$105,"真题卷",$N$6:$N$105),"")</f>
        <v/>
      </c>
      <c r="O107" s="10" t="str">
        <f>IFERROR(AVERAGEIF($A$6:$A$105,"真题卷",$O$6:$O$105),"")</f>
        <v/>
      </c>
      <c r="P107" s="10" t="str">
        <f>IFERROR(AVERAGEIF($A$6:$A$105,"真题卷",$P$6:$P$105),"")</f>
        <v/>
      </c>
      <c r="Q107" s="10"/>
      <c r="R107" s="10"/>
    </row>
    <row r="108" spans="1:18" ht="18.75" customHeight="1" x14ac:dyDescent="0.35">
      <c r="A108" s="9" t="s">
        <v>20</v>
      </c>
      <c r="B108" s="10"/>
      <c r="C108" s="10" t="str">
        <f>IFERROR(AVERAGEIF($A$6:$A$105,"模拟卷",$C$6:$C$105),"")</f>
        <v/>
      </c>
      <c r="D108" s="10"/>
      <c r="E108" s="10"/>
      <c r="F108" s="10"/>
      <c r="G108" s="10"/>
      <c r="H108" s="10" t="str">
        <f>IFERROR(AVERAGEIF($A$6:$A$105,"模拟卷",$H$6:$H$105),"")</f>
        <v/>
      </c>
      <c r="I108" s="10" t="str">
        <f>IFERROR(AVERAGEIF($A$6:$A$105,"模拟卷",$I$6:$I$105),"")</f>
        <v/>
      </c>
      <c r="J108" s="10" t="str">
        <f>IFERROR(AVERAGEIF($A$6:$A$105,"模拟卷",$J$6:$J$105),"")</f>
        <v/>
      </c>
      <c r="K108" s="10" t="str">
        <f>IFERROR(AVERAGEIF($A$6:$A$105,"模拟卷",$K$6:$K$105),"")</f>
        <v/>
      </c>
      <c r="L108" s="10" t="str">
        <f>IFERROR(AVERAGEIF($A$6:$A$105,"模拟卷",$L$6:$L$105),"")</f>
        <v/>
      </c>
      <c r="M108" s="10" t="str">
        <f>IFERROR(AVERAGEIF($A$6:$A$105,"模拟卷",$M$6:$M$105),"")</f>
        <v/>
      </c>
      <c r="N108" s="10" t="str">
        <f>IFERROR(AVERAGEIF($A$6:$A$105,"模拟卷",$N$6:$N$105),"")</f>
        <v/>
      </c>
      <c r="O108" s="10" t="str">
        <f>IFERROR(AVERAGEIF($A$6:$A$105,"模拟卷",$O$6:$O$105),"")</f>
        <v/>
      </c>
      <c r="P108" s="10" t="str">
        <f>IFERROR(AVERAGEIF($A$6:$A$105,"模拟卷",$P$6:$P$105),"")</f>
        <v/>
      </c>
      <c r="Q108" s="10"/>
      <c r="R108" s="10"/>
    </row>
    <row r="109" spans="1:18" ht="18.75" customHeight="1" x14ac:dyDescent="0.35">
      <c r="A109" s="9" t="s">
        <v>21</v>
      </c>
      <c r="B109" s="10"/>
      <c r="C109" s="10" t="str">
        <f>IFERROR(AVERAGE($C$6:$C$105),"")</f>
        <v/>
      </c>
      <c r="D109" s="10"/>
      <c r="E109" s="10"/>
      <c r="F109" s="10"/>
      <c r="G109" s="10"/>
      <c r="H109" s="10" t="str">
        <f>IFERROR(AVERAGE($H$6:$H$105),"")</f>
        <v/>
      </c>
      <c r="I109" s="10" t="str">
        <f>IFERROR(AVERAGE($I$6:$I$105),"")</f>
        <v/>
      </c>
      <c r="J109" s="10" t="str">
        <f>IFERROR(AVERAGE($J$6:$J$105),"")</f>
        <v/>
      </c>
      <c r="K109" s="10" t="str">
        <f>IFERROR(AVERAGE($K$6:$K$105),"")</f>
        <v/>
      </c>
      <c r="L109" s="10" t="str">
        <f>IFERROR(AVERAGE($L$6:$L$105),"")</f>
        <v/>
      </c>
      <c r="M109" s="10" t="str">
        <f>IFERROR(AVERAGE($M$6:$M$105),"")</f>
        <v/>
      </c>
      <c r="N109" s="10" t="str">
        <f>IFERROR(AVERAGE($N$6:$N$105),"")</f>
        <v/>
      </c>
      <c r="O109" s="10" t="str">
        <f>IFERROR(AVERAGE($O$6:$O$105),"")</f>
        <v/>
      </c>
      <c r="P109" s="10" t="str">
        <f>IFERROR(AVERAGE($P$6:$P$105),"")</f>
        <v/>
      </c>
      <c r="Q109" s="10"/>
      <c r="R109" s="10"/>
    </row>
  </sheetData>
  <mergeCells count="5">
    <mergeCell ref="A1:R1"/>
    <mergeCell ref="A2:R2"/>
    <mergeCell ref="A3:R3"/>
    <mergeCell ref="A4:R4"/>
    <mergeCell ref="A106:B106"/>
  </mergeCells>
  <phoneticPr fontId="7" type="noConversion"/>
  <conditionalFormatting sqref="D6:D105">
    <cfRule type="expression" dxfId="68" priority="34" stopIfTrue="1">
      <formula>OR(AND(ISNUMBER(D6),D6=1),D6="简单",D6="好",D6="稳定",D6="轻松")</formula>
    </cfRule>
    <cfRule type="expression" dxfId="67" priority="35" stopIfTrue="1">
      <formula>OR(AND(ISNUMBER(D6),D6&gt;=2,D6&lt;=3),D6="中等",D6="正常",D6="一般")</formula>
    </cfRule>
    <cfRule type="expression" dxfId="66" priority="36" stopIfTrue="1">
      <formula>OR(AND(ISNUMBER(D6),D6&gt;=4),D6="偏难",D6="很难",D6="差",D6="崩",D6="紧张",D6="疲惫")</formula>
    </cfRule>
  </conditionalFormatting>
  <conditionalFormatting sqref="F6:F105">
    <cfRule type="expression" dxfId="65" priority="71" stopIfTrue="1">
      <formula>AND(ISNUMBER(F6),F6&lt;=120)</formula>
    </cfRule>
    <cfRule type="expression" dxfId="64" priority="72" stopIfTrue="1">
      <formula>AND(ISNUMBER(F6),F6&gt;120,F6&lt;=150)</formula>
    </cfRule>
    <cfRule type="expression" dxfId="63" priority="73" stopIfTrue="1">
      <formula>AND(ISNUMBER(F6),F6&gt;150)</formula>
    </cfRule>
  </conditionalFormatting>
  <conditionalFormatting sqref="G6:G105">
    <cfRule type="expression" dxfId="62" priority="31" stopIfTrue="1">
      <formula>OR(AND(ISNUMBER(G6),G6=1),G6="简单",G6="好",G6="稳定",G6="轻松")</formula>
    </cfRule>
    <cfRule type="expression" dxfId="61" priority="32" stopIfTrue="1">
      <formula>OR(AND(ISNUMBER(G6),G6&gt;=2,G6&lt;=3),G6="中等",G6="正常",G6="一般")</formula>
    </cfRule>
    <cfRule type="expression" dxfId="60" priority="33" stopIfTrue="1">
      <formula>OR(AND(ISNUMBER(G6),G6&gt;=4),G6="偏难",G6="很难",G6="差",G6="崩",G6="紧张",G6="疲惫")</formula>
    </cfRule>
  </conditionalFormatting>
  <conditionalFormatting sqref="Q6:Q105">
    <cfRule type="expression" dxfId="52" priority="37" stopIfTrue="1">
      <formula>LEN(TRIM(Q6&amp;""))&gt;0</formula>
    </cfRule>
  </conditionalFormatting>
  <conditionalFormatting sqref="C6:C105">
    <cfRule type="expression" dxfId="29" priority="28" stopIfTrue="1">
      <formula>AND(ISNUMBER(C6),C6&gt;=130)</formula>
    </cfRule>
    <cfRule type="expression" dxfId="28" priority="29" stopIfTrue="1">
      <formula>AND(ISNUMBER(C6),C6&gt;=115,C6&lt;130)</formula>
    </cfRule>
    <cfRule type="expression" dxfId="27" priority="30" stopIfTrue="1">
      <formula>AND(ISNUMBER(C6),C6&lt;115)</formula>
    </cfRule>
  </conditionalFormatting>
  <conditionalFormatting sqref="H6:H105">
    <cfRule type="expression" dxfId="26" priority="25" stopIfTrue="1">
      <formula>AND(ISNUMBER(H6),H6=0)</formula>
    </cfRule>
    <cfRule type="expression" dxfId="25" priority="26" stopIfTrue="1">
      <formula>AND(ISNUMBER(H6),H6&gt;0,H6&lt;6)</formula>
    </cfRule>
    <cfRule type="expression" dxfId="24" priority="27" stopIfTrue="1">
      <formula>AND(ISNUMBER(H6),H6&gt;=6)</formula>
    </cfRule>
  </conditionalFormatting>
  <conditionalFormatting sqref="I6:I105">
    <cfRule type="expression" dxfId="23" priority="22" stopIfTrue="1">
      <formula>AND(ISNUMBER(I6),I6=0)</formula>
    </cfRule>
    <cfRule type="expression" dxfId="22" priority="23" stopIfTrue="1">
      <formula>AND(ISNUMBER(I6),I6&gt;0,I6&lt;8)</formula>
    </cfRule>
    <cfRule type="expression" dxfId="21" priority="24" stopIfTrue="1">
      <formula>AND(ISNUMBER(I6),I6&gt;=8)</formula>
    </cfRule>
  </conditionalFormatting>
  <conditionalFormatting sqref="J6:J105">
    <cfRule type="expression" dxfId="20" priority="19" stopIfTrue="1">
      <formula>AND(ISNUMBER(J6),J6=0)</formula>
    </cfRule>
    <cfRule type="expression" dxfId="19" priority="20" stopIfTrue="1">
      <formula>AND(ISNUMBER(J6),J6&gt;0,J6&lt;8)</formula>
    </cfRule>
    <cfRule type="expression" dxfId="18" priority="21" stopIfTrue="1">
      <formula>AND(ISNUMBER(J6),J6&gt;=8)</formula>
    </cfRule>
  </conditionalFormatting>
  <conditionalFormatting sqref="K6:K105">
    <cfRule type="expression" dxfId="17" priority="16" stopIfTrue="1">
      <formula>AND(ISNUMBER(K6),K6=0)</formula>
    </cfRule>
    <cfRule type="expression" dxfId="16" priority="17" stopIfTrue="1">
      <formula>AND(ISNUMBER(K6),K6&gt;0,K6&lt;12)</formula>
    </cfRule>
    <cfRule type="expression" dxfId="15" priority="18" stopIfTrue="1">
      <formula>AND(ISNUMBER(K6),K6&gt;=12)</formula>
    </cfRule>
  </conditionalFormatting>
  <conditionalFormatting sqref="L6:L105">
    <cfRule type="expression" dxfId="14" priority="13" stopIfTrue="1">
      <formula>AND(ISNUMBER(L6),L6=0)</formula>
    </cfRule>
    <cfRule type="expression" dxfId="13" priority="14" stopIfTrue="1">
      <formula>AND(ISNUMBER(L6),L6&gt;0,L6&lt;6)</formula>
    </cfRule>
    <cfRule type="expression" dxfId="12" priority="15" stopIfTrue="1">
      <formula>AND(ISNUMBER(L6),L6&gt;=6)</formula>
    </cfRule>
  </conditionalFormatting>
  <conditionalFormatting sqref="M6:M105">
    <cfRule type="expression" dxfId="11" priority="10" stopIfTrue="1">
      <formula>AND(ISNUMBER(M6),M6=0)</formula>
    </cfRule>
    <cfRule type="expression" dxfId="10" priority="11" stopIfTrue="1">
      <formula>AND(ISNUMBER(M6),M6&gt;0,M6&lt;7)</formula>
    </cfRule>
    <cfRule type="expression" dxfId="9" priority="12" stopIfTrue="1">
      <formula>AND(ISNUMBER(M6),M6&gt;=7)</formula>
    </cfRule>
  </conditionalFormatting>
  <conditionalFormatting sqref="N6:N105">
    <cfRule type="expression" dxfId="8" priority="7" stopIfTrue="1">
      <formula>AND(ISNUMBER(N6),N6=0)</formula>
    </cfRule>
    <cfRule type="expression" dxfId="7" priority="8" stopIfTrue="1">
      <formula>AND(ISNUMBER(N6),N6&gt;0,N6&lt;7)</formula>
    </cfRule>
    <cfRule type="expression" dxfId="6" priority="9" stopIfTrue="1">
      <formula>AND(ISNUMBER(N6),N6&gt;=7)</formula>
    </cfRule>
  </conditionalFormatting>
  <conditionalFormatting sqref="O6:O105">
    <cfRule type="expression" dxfId="5" priority="4" stopIfTrue="1">
      <formula>AND(ISNUMBER(O6),O6=0)</formula>
    </cfRule>
    <cfRule type="expression" dxfId="4" priority="5" stopIfTrue="1">
      <formula>AND(ISNUMBER(O6),O6&gt;0,O6&lt;7)</formula>
    </cfRule>
    <cfRule type="expression" dxfId="3" priority="6" stopIfTrue="1">
      <formula>AND(ISNUMBER(O6),O6&gt;=7)</formula>
    </cfRule>
  </conditionalFormatting>
  <conditionalFormatting sqref="P6:P105">
    <cfRule type="expression" dxfId="2" priority="1" stopIfTrue="1">
      <formula>AND(ISNUMBER(P6),P6=0)</formula>
    </cfRule>
    <cfRule type="expression" dxfId="1" priority="2" stopIfTrue="1">
      <formula>AND(ISNUMBER(P6),P6&gt;0,P6&lt;7)</formula>
    </cfRule>
    <cfRule type="expression" dxfId="0" priority="3" stopIfTrue="1">
      <formula>AND(ISNUMBER(P6),P6&gt;=7)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N109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style="2" bestFit="1" customWidth="1"/>
    <col min="2" max="2" width="20" style="2" bestFit="1" customWidth="1"/>
    <col min="3" max="3" width="11" style="2" bestFit="1" customWidth="1"/>
    <col min="4" max="6" width="12" style="2" bestFit="1" customWidth="1"/>
    <col min="7" max="7" width="20" style="2" bestFit="1" customWidth="1"/>
    <col min="8" max="12" width="11" style="2" bestFit="1" customWidth="1"/>
    <col min="13" max="14" width="20" style="2" bestFit="1" customWidth="1"/>
  </cols>
  <sheetData>
    <row r="1" spans="1:14" ht="18.75" customHeight="1" x14ac:dyDescent="0.45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s="3" customFormat="1" ht="18.75" customHeight="1" x14ac:dyDescent="0.35">
      <c r="A2" s="26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s="3" customFormat="1" ht="18.75" customHeight="1" x14ac:dyDescent="0.35">
      <c r="A3" s="26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</row>
    <row r="4" spans="1:14" s="3" customFormat="1" ht="18.75" customHeight="1" x14ac:dyDescent="0.35">
      <c r="A4" s="26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1:14" s="3" customFormat="1" ht="18.75" customHeight="1" x14ac:dyDescent="0.35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6" t="s">
        <v>13</v>
      </c>
      <c r="K5" s="6" t="s">
        <v>14</v>
      </c>
      <c r="L5" s="6" t="s">
        <v>15</v>
      </c>
      <c r="M5" s="6" t="s">
        <v>16</v>
      </c>
      <c r="N5" s="6" t="s">
        <v>17</v>
      </c>
    </row>
    <row r="6" spans="1:14" s="3" customFormat="1" ht="18.75" customHeight="1" x14ac:dyDescent="0.3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1:14" s="3" customFormat="1" ht="18.75" customHeight="1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 s="3" customFormat="1" ht="18.75" customHeight="1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1:14" s="3" customFormat="1" ht="18.75" customHeight="1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 s="3" customFormat="1" ht="18.75" customHeight="1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4" s="3" customFormat="1" ht="18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 s="3" customFormat="1" ht="18.75" customHeight="1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 s="3" customFormat="1" ht="18.75" customHeight="1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s="3" customFormat="1" ht="18.75" customHeight="1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 s="3" customFormat="1" ht="18.75" customHeight="1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s="3" customFormat="1" ht="18.75" customHeight="1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 s="3" customFormat="1" ht="18.75" customHeight="1" x14ac:dyDescent="0.3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s="3" customFormat="1" ht="18.75" customHeight="1" x14ac:dyDescent="0.3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s="3" customFormat="1" ht="18.75" customHeight="1" x14ac:dyDescent="0.3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s="3" customFormat="1" ht="18.75" customHeight="1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 s="3" customFormat="1" ht="18.75" customHeight="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s="3" customFormat="1" ht="18.75" customHeight="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s="3" customFormat="1" ht="18.75" customHeight="1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s="3" customFormat="1" ht="18.75" customHeight="1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s="3" customFormat="1" ht="18.75" customHeight="1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s="3" customFormat="1" ht="18.75" customHeight="1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s="3" customFormat="1" ht="18.75" customHeight="1" x14ac:dyDescent="0.3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s="3" customFormat="1" ht="18.75" customHeight="1" x14ac:dyDescent="0.3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s="3" customFormat="1" ht="18.75" customHeight="1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s="3" customFormat="1" ht="18.75" customHeight="1" x14ac:dyDescent="0.3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 s="3" customFormat="1" ht="18.75" customHeight="1" x14ac:dyDescent="0.3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s="3" customFormat="1" ht="18.75" customHeight="1" x14ac:dyDescent="0.3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 s="3" customFormat="1" ht="18.75" customHeight="1" x14ac:dyDescent="0.3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s="3" customFormat="1" ht="18.75" customHeight="1" x14ac:dyDescent="0.3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s="3" customFormat="1" ht="18.75" customHeight="1" x14ac:dyDescent="0.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s="3" customFormat="1" ht="18.75" customHeight="1" x14ac:dyDescent="0.3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 s="3" customFormat="1" ht="18.75" customHeight="1" x14ac:dyDescent="0.3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s="3" customFormat="1" ht="18.75" customHeight="1" x14ac:dyDescent="0.3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 s="3" customFormat="1" ht="18.75" customHeight="1" x14ac:dyDescent="0.3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 s="3" customFormat="1" ht="18.75" customHeight="1" x14ac:dyDescent="0.3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 s="3" customFormat="1" ht="18.75" customHeight="1" x14ac:dyDescent="0.3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s="3" customFormat="1" ht="18.75" customHeight="1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 s="3" customFormat="1" ht="18.75" customHeight="1" x14ac:dyDescent="0.3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s="3" customFormat="1" ht="18.75" customHeight="1" x14ac:dyDescent="0.3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 s="3" customFormat="1" ht="18.75" customHeight="1" x14ac:dyDescent="0.3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 s="3" customFormat="1" ht="18.75" customHeight="1" x14ac:dyDescent="0.3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  <row r="47" spans="1:14" s="3" customFormat="1" ht="18.75" customHeight="1" x14ac:dyDescent="0.3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 s="3" customFormat="1" ht="18.75" customHeight="1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14" s="3" customFormat="1" ht="18.75" customHeight="1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 s="3" customFormat="1" ht="18.75" customHeight="1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</row>
    <row r="51" spans="1:14" s="3" customFormat="1" ht="18.75" customHeight="1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 s="3" customFormat="1" ht="18.75" customHeight="1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s="3" customFormat="1" ht="18.75" customHeight="1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 s="3" customFormat="1" ht="18.75" customHeight="1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  <row r="55" spans="1:14" s="3" customFormat="1" ht="18.75" customHeight="1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 s="3" customFormat="1" ht="18.75" customHeight="1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1:14" s="3" customFormat="1" ht="18.75" customHeight="1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 s="3" customFormat="1" ht="18.75" customHeight="1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1:14" s="3" customFormat="1" ht="18.75" customHeight="1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 s="3" customFormat="1" ht="18.75" customHeight="1" x14ac:dyDescent="0.3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spans="1:14" s="3" customFormat="1" ht="18.75" customHeight="1" x14ac:dyDescent="0.3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 s="3" customFormat="1" ht="18.75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</row>
    <row r="63" spans="1:14" s="3" customFormat="1" ht="18.75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 s="3" customFormat="1" ht="18.75" customHeight="1" x14ac:dyDescent="0.3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</row>
    <row r="65" spans="1:14" s="3" customFormat="1" ht="18.75" customHeight="1" x14ac:dyDescent="0.3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 s="3" customFormat="1" ht="18.75" customHeight="1" x14ac:dyDescent="0.3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</row>
    <row r="67" spans="1:14" s="3" customFormat="1" ht="18.75" customHeight="1" x14ac:dyDescent="0.3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 s="3" customFormat="1" ht="18.75" customHeight="1" x14ac:dyDescent="0.3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</row>
    <row r="69" spans="1:14" s="3" customFormat="1" ht="18.75" customHeight="1" x14ac:dyDescent="0.3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 s="3" customFormat="1" ht="18.75" customHeight="1" x14ac:dyDescent="0.3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</row>
    <row r="71" spans="1:14" s="3" customFormat="1" ht="18.75" customHeight="1" x14ac:dyDescent="0.3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 s="3" customFormat="1" ht="18.75" customHeight="1" x14ac:dyDescent="0.3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</row>
    <row r="73" spans="1:14" s="3" customFormat="1" ht="18.75" customHeight="1" x14ac:dyDescent="0.3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 s="3" customFormat="1" ht="18.75" customHeight="1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</row>
    <row r="75" spans="1:14" s="3" customFormat="1" ht="18.75" customHeight="1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 s="3" customFormat="1" ht="18.75" customHeight="1" x14ac:dyDescent="0.3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</row>
    <row r="77" spans="1:14" s="3" customFormat="1" ht="18.75" customHeight="1" x14ac:dyDescent="0.3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 s="3" customFormat="1" ht="18.75" customHeight="1" x14ac:dyDescent="0.3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</row>
    <row r="79" spans="1:14" s="3" customFormat="1" ht="18.75" customHeight="1" x14ac:dyDescent="0.3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 s="3" customFormat="1" ht="18.75" customHeight="1" x14ac:dyDescent="0.3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</row>
    <row r="81" spans="1:14" s="3" customFormat="1" ht="18.75" customHeight="1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 s="3" customFormat="1" ht="18.75" customHeight="1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</row>
    <row r="83" spans="1:14" s="3" customFormat="1" ht="18.75" customHeight="1" x14ac:dyDescent="0.3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 s="3" customFormat="1" ht="18.75" customHeight="1" x14ac:dyDescent="0.3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 spans="1:14" s="3" customFormat="1" ht="18.75" customHeight="1" x14ac:dyDescent="0.3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 s="3" customFormat="1" ht="18.75" customHeight="1" x14ac:dyDescent="0.3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  <row r="87" spans="1:14" s="3" customFormat="1" ht="18.75" customHeight="1" x14ac:dyDescent="0.3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 s="3" customFormat="1" ht="18.75" customHeight="1" x14ac:dyDescent="0.3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</row>
    <row r="89" spans="1:14" s="3" customFormat="1" ht="18.75" customHeight="1" x14ac:dyDescent="0.3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 s="3" customFormat="1" ht="18.75" customHeight="1" x14ac:dyDescent="0.3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</row>
    <row r="91" spans="1:14" s="3" customFormat="1" ht="18.75" customHeight="1" x14ac:dyDescent="0.3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 s="3" customFormat="1" ht="18.75" customHeight="1" x14ac:dyDescent="0.3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</row>
    <row r="93" spans="1:14" s="3" customFormat="1" ht="18.75" customHeight="1" x14ac:dyDescent="0.3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 s="3" customFormat="1" ht="18.75" customHeight="1" x14ac:dyDescent="0.3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</row>
    <row r="95" spans="1:14" s="3" customFormat="1" ht="18.75" customHeight="1" x14ac:dyDescent="0.3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 s="3" customFormat="1" ht="18.75" customHeight="1" x14ac:dyDescent="0.3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</row>
    <row r="97" spans="1:14" s="3" customFormat="1" ht="18.75" customHeight="1" x14ac:dyDescent="0.3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 s="3" customFormat="1" ht="18.75" customHeight="1" x14ac:dyDescent="0.3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</row>
    <row r="99" spans="1:14" s="3" customFormat="1" ht="18.75" customHeight="1" x14ac:dyDescent="0.3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 s="3" customFormat="1" ht="18.75" customHeight="1" x14ac:dyDescent="0.3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 s="3" customFormat="1" ht="18.75" customHeight="1" x14ac:dyDescent="0.3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 s="3" customFormat="1" ht="18.75" customHeight="1" x14ac:dyDescent="0.3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 s="3" customFormat="1" ht="18.75" customHeight="1" x14ac:dyDescent="0.3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 s="3" customFormat="1" ht="18.75" customHeight="1" x14ac:dyDescent="0.3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 s="3" customFormat="1" ht="18.75" customHeight="1" x14ac:dyDescent="0.3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 s="3" customFormat="1" ht="18.75" customHeight="1" x14ac:dyDescent="0.45">
      <c r="A106" s="28" t="s">
        <v>18</v>
      </c>
      <c r="B106" s="28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8.75" customHeight="1" x14ac:dyDescent="0.35">
      <c r="A107" s="9" t="s">
        <v>19</v>
      </c>
      <c r="B107" s="10"/>
      <c r="C107" s="10" t="str">
        <f>IFERROR(AVERAGEIF($A$6:$A$105,"真题卷",$C$6:$C$105),"")</f>
        <v/>
      </c>
      <c r="D107" s="10"/>
      <c r="E107" s="10"/>
      <c r="F107" s="10"/>
      <c r="G107" s="10"/>
      <c r="H107" s="10" t="str">
        <f>IFERROR(AVERAGEIF($A$6:$A$105,"真题卷",$H$6:$H$105),"")</f>
        <v/>
      </c>
      <c r="I107" s="10" t="str">
        <f>IFERROR(AVERAGEIF($A$6:$A$105,"真题卷",$I$6:$I$105),"")</f>
        <v/>
      </c>
      <c r="J107" s="10" t="str">
        <f>IFERROR(AVERAGEIF($A$6:$A$105,"真题卷",$J$6:$J$105),"")</f>
        <v/>
      </c>
      <c r="K107" s="10" t="str">
        <f>IFERROR(AVERAGEIF($A$6:$A$105,"真题卷",$K$6:$K$105),"")</f>
        <v/>
      </c>
      <c r="L107" s="10" t="str">
        <f>IFERROR(AVERAGEIF($A$6:$A$105,"真题卷",$L$6:$L$105),"")</f>
        <v/>
      </c>
      <c r="M107" s="10"/>
      <c r="N107" s="10"/>
    </row>
    <row r="108" spans="1:14" ht="18.75" customHeight="1" x14ac:dyDescent="0.35">
      <c r="A108" s="9" t="s">
        <v>20</v>
      </c>
      <c r="B108" s="10"/>
      <c r="C108" s="10" t="str">
        <f>IFERROR(AVERAGEIF($A$6:$A$105,"模拟卷",$C$6:$C$105),"")</f>
        <v/>
      </c>
      <c r="D108" s="10"/>
      <c r="E108" s="10"/>
      <c r="F108" s="10"/>
      <c r="G108" s="10"/>
      <c r="H108" s="10" t="str">
        <f>IFERROR(AVERAGEIF($A$6:$A$105,"模拟卷",$H$6:$H$105),"")</f>
        <v/>
      </c>
      <c r="I108" s="10" t="str">
        <f>IFERROR(AVERAGEIF($A$6:$A$105,"模拟卷",$I$6:$I$105),"")</f>
        <v/>
      </c>
      <c r="J108" s="10" t="str">
        <f>IFERROR(AVERAGEIF($A$6:$A$105,"模拟卷",$J$6:$J$105),"")</f>
        <v/>
      </c>
      <c r="K108" s="10" t="str">
        <f>IFERROR(AVERAGEIF($A$6:$A$105,"模拟卷",$K$6:$K$105),"")</f>
        <v/>
      </c>
      <c r="L108" s="10" t="str">
        <f>IFERROR(AVERAGEIF($A$6:$A$105,"模拟卷",$L$6:$L$105),"")</f>
        <v/>
      </c>
      <c r="M108" s="10"/>
      <c r="N108" s="10"/>
    </row>
    <row r="109" spans="1:14" ht="18.75" customHeight="1" x14ac:dyDescent="0.35">
      <c r="A109" s="9" t="s">
        <v>21</v>
      </c>
      <c r="B109" s="10"/>
      <c r="C109" s="10" t="str">
        <f>IFERROR(AVERAGE($C$6:$C$105),"")</f>
        <v/>
      </c>
      <c r="D109" s="10"/>
      <c r="E109" s="10"/>
      <c r="F109" s="10"/>
      <c r="G109" s="10"/>
      <c r="H109" s="10" t="str">
        <f>IFERROR(AVERAGE($H$6:$H$105),"")</f>
        <v/>
      </c>
      <c r="I109" s="10" t="str">
        <f>IFERROR(AVERAGE($I$6:$I$105),"")</f>
        <v/>
      </c>
      <c r="J109" s="10" t="str">
        <f>IFERROR(AVERAGE($J$6:$J$105),"")</f>
        <v/>
      </c>
      <c r="K109" s="10" t="str">
        <f>IFERROR(AVERAGE($K$6:$K$105),"")</f>
        <v/>
      </c>
      <c r="L109" s="10" t="str">
        <f>IFERROR(AVERAGE($L$6:$L$105),"")</f>
        <v/>
      </c>
      <c r="M109" s="10"/>
      <c r="N109" s="10"/>
    </row>
  </sheetData>
  <mergeCells count="5">
    <mergeCell ref="A1:N1"/>
    <mergeCell ref="A2:N2"/>
    <mergeCell ref="A3:N3"/>
    <mergeCell ref="A4:N4"/>
    <mergeCell ref="A106:B106"/>
  </mergeCells>
  <phoneticPr fontId="7" type="noConversion"/>
  <conditionalFormatting sqref="C6:C105">
    <cfRule type="expression" dxfId="51" priority="32" stopIfTrue="1">
      <formula>AND(ISNUMBER(C6),C6&gt;=80)</formula>
    </cfRule>
    <cfRule type="expression" dxfId="50" priority="33" stopIfTrue="1">
      <formula>AND(ISNUMBER(C6),C6&gt;=65,C6&lt;80)</formula>
    </cfRule>
    <cfRule type="expression" dxfId="49" priority="34" stopIfTrue="1">
      <formula>AND(ISNUMBER(C6),C6&lt;65)</formula>
    </cfRule>
  </conditionalFormatting>
  <conditionalFormatting sqref="D6:D105">
    <cfRule type="expression" dxfId="48" priority="4" stopIfTrue="1">
      <formula>OR(AND(ISNUMBER(D6),D6=1),D6="简单",D6="好",D6="稳定",D6="轻松")</formula>
    </cfRule>
    <cfRule type="expression" dxfId="47" priority="5" stopIfTrue="1">
      <formula>OR(AND(ISNUMBER(D6),D6&gt;=2,D6&lt;=3),D6="中等",D6="正常",D6="一般")</formula>
    </cfRule>
    <cfRule type="expression" dxfId="46" priority="6" stopIfTrue="1">
      <formula>OR(AND(ISNUMBER(D6),D6&gt;=4),D6="偏难",D6="很难",D6="差",D6="崩",D6="紧张",D6="疲惫")</formula>
    </cfRule>
  </conditionalFormatting>
  <conditionalFormatting sqref="F6:F105">
    <cfRule type="expression" dxfId="45" priority="29" stopIfTrue="1">
      <formula>AND(ISNUMBER(F6),F6&lt;=90)</formula>
    </cfRule>
    <cfRule type="expression" dxfId="44" priority="30" stopIfTrue="1">
      <formula>AND(ISNUMBER(F6),F6&gt;90,F6&lt;=120)</formula>
    </cfRule>
    <cfRule type="expression" dxfId="43" priority="31" stopIfTrue="1">
      <formula>AND(ISNUMBER(F6),F6&gt;120)</formula>
    </cfRule>
  </conditionalFormatting>
  <conditionalFormatting sqref="G6:G105">
    <cfRule type="expression" dxfId="42" priority="1" stopIfTrue="1">
      <formula>OR(AND(ISNUMBER(G6),G6=1),G6="简单",G6="好",G6="稳定",G6="轻松")</formula>
    </cfRule>
    <cfRule type="expression" dxfId="41" priority="2" stopIfTrue="1">
      <formula>OR(AND(ISNUMBER(G6),G6&gt;=2,G6&lt;=3),G6="中等",G6="正常",G6="一般")</formula>
    </cfRule>
    <cfRule type="expression" dxfId="40" priority="3" stopIfTrue="1">
      <formula>OR(AND(ISNUMBER(G6),G6&gt;=4),G6="偏难",G6="很难",G6="差",G6="崩",G6="紧张",G6="疲惫")</formula>
    </cfRule>
  </conditionalFormatting>
  <conditionalFormatting sqref="H6:I105">
    <cfRule type="expression" dxfId="39" priority="15" stopIfTrue="1">
      <formula>AND(ISNUMBER(H6),H6&gt;0,H6&lt;6)</formula>
    </cfRule>
    <cfRule type="expression" dxfId="38" priority="16" stopIfTrue="1">
      <formula>AND(ISNUMBER(H6),H6&gt;=6)</formula>
    </cfRule>
  </conditionalFormatting>
  <conditionalFormatting sqref="H6:L105">
    <cfRule type="expression" dxfId="37" priority="8" stopIfTrue="1">
      <formula>AND(ISNUMBER(H6),H6=0)</formula>
    </cfRule>
  </conditionalFormatting>
  <conditionalFormatting sqref="J6:J105">
    <cfRule type="expression" dxfId="36" priority="21" stopIfTrue="1">
      <formula>AND(ISNUMBER(J6),J6&gt;0,J6&lt;8)</formula>
    </cfRule>
    <cfRule type="expression" dxfId="35" priority="22" stopIfTrue="1">
      <formula>AND(ISNUMBER(J6),J6&gt;=8)</formula>
    </cfRule>
  </conditionalFormatting>
  <conditionalFormatting sqref="K6:K105">
    <cfRule type="expression" dxfId="34" priority="9" stopIfTrue="1">
      <formula>AND(ISNUMBER(K6),K6&gt;0,K6&lt;10)</formula>
    </cfRule>
    <cfRule type="expression" dxfId="33" priority="10" stopIfTrue="1">
      <formula>AND(ISNUMBER(K6),K6&gt;=10)</formula>
    </cfRule>
  </conditionalFormatting>
  <conditionalFormatting sqref="L6:L105">
    <cfRule type="expression" dxfId="32" priority="12" stopIfTrue="1">
      <formula>AND(ISNUMBER(L6),L6&gt;0,L6&lt;4)</formula>
    </cfRule>
    <cfRule type="expression" dxfId="31" priority="13" stopIfTrue="1">
      <formula>AND(ISNUMBER(L6),L6&gt;=4)</formula>
    </cfRule>
  </conditionalFormatting>
  <conditionalFormatting sqref="M6:M105">
    <cfRule type="expression" dxfId="30" priority="7" stopIfTrue="1">
      <formula>LEN(TRIM(M6&amp;""))&gt;0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数学一</vt:lpstr>
      <vt:lpstr>英语一</vt:lpstr>
      <vt:lpstr>408综合</vt:lpstr>
      <vt:lpstr>政治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souxin du</cp:lastModifiedBy>
  <dcterms:created xsi:type="dcterms:W3CDTF">2026-05-26T06:07:17Z</dcterms:created>
  <dcterms:modified xsi:type="dcterms:W3CDTF">2026-05-26T06:50:21Z</dcterms:modified>
</cp:coreProperties>
</file>